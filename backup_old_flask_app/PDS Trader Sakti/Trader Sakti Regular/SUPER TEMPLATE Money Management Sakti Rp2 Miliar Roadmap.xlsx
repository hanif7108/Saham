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puts" sheetId="1" state="visible" r:id="rId1"/>
    <sheet name="RiskManagement" sheetId="2" state="visible" r:id="rId2"/>
    <sheet name="MonthlyRoadmap" sheetId="3" state="visible" r:id="rId3"/>
    <sheet name="TradeJournal" sheetId="4" state="visible" r:id="rId4"/>
    <sheet name="ScenarioPlanner" sheetId="5" state="visible" r:id="rId5"/>
    <sheet name="Warnings" sheetId="6" state="visible" r:id="rId6"/>
    <sheet name="Affirmations" sheetId="7" state="visible" r:id="rId7"/>
    <sheet name="Dashboard" sheetId="8" state="visible" r:id="rId8"/>
  </sheets>
  <definedNames>
    <definedName name="MAX_RISK">Inputs!$B$9</definedName>
    <definedName name="MODAL_AWAL">Inputs!$B$6</definedName>
    <definedName name="RR_RATIO">Inputs!$B$10</definedName>
    <definedName name="TARGET_BESAR">Inputs!$B$8</definedName>
    <definedName name="TARGET_GROWTH_BULAN">Inputs!$B$7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6B6B6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4" fillId="3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0" fillId="0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3" fontId="0" fillId="2" borderId="0" pivotButton="0" quotePrefix="0" xfId="0"/>
    <xf numFmtId="10" fontId="0" fillId="2" borderId="0" pivotButton="0" quotePrefix="0" xfId="0"/>
    <xf numFmtId="164" fontId="0" fillId="0" borderId="1" pivotButton="0" quotePrefix="0" xfId="0"/>
    <xf numFmtId="10" fontId="0" fillId="0" borderId="1" pivotButton="0" quotePrefix="0" xfId="0"/>
    <xf numFmtId="165" fontId="0" fillId="0" borderId="0" pivotButton="0" quotePrefix="0" xfId="0"/>
  </cellXfs>
  <cellStyles count="1">
    <cellStyle name="Normal" xfId="0" builtinId="0"/>
  </cellStyles>
  <dxfs count="2">
    <dxf>
      <font>
        <b val="1"/>
        <color rgb="FFC62828"/>
      </font>
    </dxf>
    <dxf>
      <font>
        <b val="1"/>
        <color rgb="FF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Pertumbuhan Modal Menuju Rp2 Miliar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Saldo Akhir (Target)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Dashboard!$D$4:$D$123</f>
              <numCache>
                <formatCode>General</formatCode>
                <ptCount val="1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</numCache>
            </numRef>
          </cat>
          <val>
            <numRef>
              <f>Dashboard!$E$4:$E$123</f>
              <numCache>
                <formatCode>General</formatCode>
                <ptCount val="12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Bulan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Saldo (Rp)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12</row>
      <rowOff>0</rowOff>
    </from>
    <to>
      <col>2</col>
      <colOff>990600</colOff>
      <row>29</row>
      <rowOff>57150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cols>
    <col width="36.7109375" customWidth="1" min="1" max="1"/>
    <col width="24.7109375" customWidth="1" min="2" max="2"/>
  </cols>
  <sheetData>
    <row r="1">
      <c r="A1" s="1" t="inlineStr">
        <is>
          <t>SUPER TEMPLATE: Money Management Sakti — Inputs</t>
        </is>
      </c>
    </row>
    <row r="3">
      <c r="A3" s="2" t="inlineStr">
        <is>
          <t>Deskripsi</t>
        </is>
      </c>
    </row>
    <row r="4">
      <c r="A4" s="3" t="inlineStr">
        <is>
          <t>Isi parameter utama di sini. Ubah angka untuk menyesuaikan rencana Anda.</t>
        </is>
      </c>
    </row>
    <row r="6">
      <c r="A6" s="4" t="inlineStr">
        <is>
          <t>Modal Awal (Rp)</t>
        </is>
      </c>
      <c r="B6" s="16" t="n">
        <v>10000000</v>
      </c>
    </row>
    <row r="7">
      <c r="A7" s="4" t="inlineStr">
        <is>
          <t>Target Pertumbuhan Bulanan (kompound)</t>
        </is>
      </c>
      <c r="B7" s="17" t="n">
        <v>0.1</v>
      </c>
    </row>
    <row r="8">
      <c r="A8" s="4" t="inlineStr">
        <is>
          <t>Target Besar (Rp)</t>
        </is>
      </c>
      <c r="B8" s="16" t="n">
        <v>1000000000</v>
      </c>
    </row>
    <row r="9">
      <c r="A9" s="4" t="inlineStr">
        <is>
          <t>Max Risk per Trade (% dari modal)</t>
        </is>
      </c>
      <c r="B9" s="17" t="n">
        <v>0.01</v>
      </c>
    </row>
    <row r="10">
      <c r="A10" s="4" t="inlineStr">
        <is>
          <t>Risk / Reward Ratio</t>
        </is>
      </c>
      <c r="B10" s="7" t="n">
        <v>2</v>
      </c>
    </row>
    <row r="12">
      <c r="A12" s="4" t="inlineStr">
        <is>
          <t>Catatan:</t>
        </is>
      </c>
    </row>
    <row r="13">
      <c r="A13" s="3" t="inlineStr">
        <is>
          <t>• Semua sheet terhubung ke angka di atas.
• Dashboard akan menyesuaikan otomatis.
• Ubah hanya sel di kolom B (biru) pada sheet Inputs.</t>
        </is>
      </c>
    </row>
    <row r="14"/>
    <row r="15"/>
    <row r="16"/>
  </sheetData>
  <mergeCells count="2">
    <mergeCell ref="A4:B4"/>
    <mergeCell ref="A13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.7109375" customWidth="1" min="1" max="1"/>
    <col width="18.7109375" customWidth="1" min="2" max="4"/>
  </cols>
  <sheetData>
    <row r="1">
      <c r="A1" s="8" t="inlineStr">
        <is>
          <t>Risk Management Master</t>
        </is>
      </c>
    </row>
    <row r="3">
      <c r="A3" s="9" t="inlineStr">
        <is>
          <t>Modal Saat Ini</t>
        </is>
      </c>
      <c r="B3" s="18">
        <f>MODAL_AWAL</f>
        <v/>
      </c>
    </row>
    <row r="4">
      <c r="A4" s="9" t="inlineStr">
        <is>
          <t>Max Risk per Trade (%)</t>
        </is>
      </c>
      <c r="B4" s="19">
        <f>MAX_RISK</f>
        <v/>
      </c>
    </row>
    <row r="5">
      <c r="A5" s="9" t="inlineStr">
        <is>
          <t>Risk / Reward Ratio</t>
        </is>
      </c>
      <c r="B5" s="12">
        <f>RR_RATIO</f>
        <v/>
      </c>
    </row>
    <row r="7">
      <c r="A7" s="9" t="inlineStr">
        <is>
          <t>Risk Amount per Trade (Rp)</t>
        </is>
      </c>
      <c r="B7" s="18">
        <f>B3*B4</f>
        <v/>
      </c>
    </row>
    <row r="8">
      <c r="A8" s="9" t="inlineStr">
        <is>
          <t>Target Profit per Trade (Rp)</t>
        </is>
      </c>
      <c r="B8" s="18">
        <f>B7*B5</f>
        <v/>
      </c>
    </row>
    <row r="10">
      <c r="A10" s="2" t="inlineStr">
        <is>
          <t>Kalkulator Position Size (contoh saham)</t>
        </is>
      </c>
    </row>
    <row r="11">
      <c r="A11" s="9" t="inlineStr">
        <is>
          <t>Harga Entry</t>
        </is>
      </c>
      <c r="B11" s="18" t="n">
        <v>5000</v>
      </c>
    </row>
    <row r="12">
      <c r="A12" s="9" t="inlineStr">
        <is>
          <t>Stop Loss (Harga)</t>
        </is>
      </c>
      <c r="B12" s="18" t="n">
        <v>4850</v>
      </c>
    </row>
    <row r="13">
      <c r="A13" s="9" t="inlineStr">
        <is>
          <t>Risiko per Lembar (Entry - SL)</t>
        </is>
      </c>
      <c r="B13" s="18">
        <f>B11-B12</f>
        <v/>
      </c>
    </row>
    <row r="14">
      <c r="A14" s="9" t="inlineStr">
        <is>
          <t>Ukuran Posisi (lembar)</t>
        </is>
      </c>
      <c r="B14" s="12">
        <f>IF(B13&gt;0,ROUND(B7/B13,0),0)</f>
        <v/>
      </c>
    </row>
    <row r="16">
      <c r="A16" s="4" t="inlineStr">
        <is>
          <t>Catatan:</t>
        </is>
      </c>
    </row>
    <row r="17">
      <c r="A17" s="3" t="inlineStr">
        <is>
          <t>• Ganti 'Harga Entry' dan 'Stop Loss' sesuai instrumen.
• Untuk forex/kripto, sesuaikan unit &amp; ukuran kontrak.
• Jaga risk per trade ≤ 1–2%.</t>
        </is>
      </c>
    </row>
    <row r="18"/>
    <row r="19"/>
  </sheetData>
  <mergeCells count="1">
    <mergeCell ref="A17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8.7109375" customWidth="1" min="1" max="1"/>
    <col width="14.7109375" customWidth="1" min="2" max="2"/>
    <col width="20.7109375" customWidth="1" min="3" max="4"/>
    <col width="14.7109375" customWidth="1" min="5" max="5"/>
  </cols>
  <sheetData>
    <row r="1">
      <c r="A1" s="8" t="inlineStr">
        <is>
          <t>Monthly Roadmap ke Rp 2 Miliar (Compound)</t>
        </is>
      </c>
    </row>
    <row r="3">
      <c r="A3" s="9" t="inlineStr">
        <is>
          <t>Bulan</t>
        </is>
      </c>
      <c r="B3" s="9" t="inlineStr">
        <is>
          <t>Target Growth</t>
        </is>
      </c>
      <c r="C3" s="9" t="inlineStr">
        <is>
          <t>Target Saldo Awal</t>
        </is>
      </c>
      <c r="D3" s="9" t="inlineStr">
        <is>
          <t>Target Saldo Akhir</t>
        </is>
      </c>
      <c r="E3" s="9" t="inlineStr">
        <is>
          <t>Checklist</t>
        </is>
      </c>
      <c r="G3" s="9" t="inlineStr">
        <is>
          <t>Perkiraan Bulan Mencapai Target</t>
        </is>
      </c>
      <c r="H3" s="12">
        <f>MATCH(TARGET_BESAR, D4:D123, 1)+1</f>
        <v/>
      </c>
    </row>
    <row r="4">
      <c r="A4" s="12" t="n">
        <v>1</v>
      </c>
      <c r="B4" s="19">
        <f>TARGET_GROWTH_BULAN</f>
        <v/>
      </c>
      <c r="C4" s="18">
        <f>MODAL_AWAL</f>
        <v/>
      </c>
      <c r="D4" s="18">
        <f>C4*(1+B4)</f>
        <v/>
      </c>
      <c r="E4" s="12" t="n"/>
      <c r="G4" s="9" t="inlineStr">
        <is>
          <t>Catatan</t>
        </is>
      </c>
    </row>
    <row r="5">
      <c r="A5" s="12" t="n">
        <v>2</v>
      </c>
      <c r="B5" s="19">
        <f>TARGET_GROWTH_BULAN</f>
        <v/>
      </c>
      <c r="C5" s="18">
        <f>D4</f>
        <v/>
      </c>
      <c r="D5" s="18">
        <f>C5*(1+B5)</f>
        <v/>
      </c>
      <c r="E5" s="12" t="n"/>
      <c r="G5" s="3" t="inlineStr">
        <is>
          <t>Nilai di atas menggunakan MATCH mode approximate (1) pada deret meningkat. Jika Hasil #N/A, target belum tercapai dalam 120 bulan.</t>
        </is>
      </c>
    </row>
    <row r="6">
      <c r="A6" s="12" t="n">
        <v>3</v>
      </c>
      <c r="B6" s="19">
        <f>TARGET_GROWTH_BULAN</f>
        <v/>
      </c>
      <c r="C6" s="18">
        <f>D5</f>
        <v/>
      </c>
      <c r="D6" s="18">
        <f>C6*(1+B6)</f>
        <v/>
      </c>
      <c r="E6" s="12" t="n"/>
    </row>
    <row r="7">
      <c r="A7" s="12" t="n">
        <v>4</v>
      </c>
      <c r="B7" s="19">
        <f>TARGET_GROWTH_BULAN</f>
        <v/>
      </c>
      <c r="C7" s="18">
        <f>D6</f>
        <v/>
      </c>
      <c r="D7" s="18">
        <f>C7*(1+B7)</f>
        <v/>
      </c>
      <c r="E7" s="12" t="n"/>
    </row>
    <row r="8">
      <c r="A8" s="12" t="n">
        <v>5</v>
      </c>
      <c r="B8" s="19">
        <f>TARGET_GROWTH_BULAN</f>
        <v/>
      </c>
      <c r="C8" s="18">
        <f>D7</f>
        <v/>
      </c>
      <c r="D8" s="18">
        <f>C8*(1+B8)</f>
        <v/>
      </c>
      <c r="E8" s="12" t="n"/>
    </row>
    <row r="9">
      <c r="A9" s="12" t="n">
        <v>6</v>
      </c>
      <c r="B9" s="19">
        <f>TARGET_GROWTH_BULAN</f>
        <v/>
      </c>
      <c r="C9" s="18">
        <f>D8</f>
        <v/>
      </c>
      <c r="D9" s="18">
        <f>C9*(1+B9)</f>
        <v/>
      </c>
      <c r="E9" s="12" t="n"/>
    </row>
    <row r="10">
      <c r="A10" s="12" t="n">
        <v>7</v>
      </c>
      <c r="B10" s="19">
        <f>TARGET_GROWTH_BULAN</f>
        <v/>
      </c>
      <c r="C10" s="18">
        <f>D9</f>
        <v/>
      </c>
      <c r="D10" s="18">
        <f>C10*(1+B10)</f>
        <v/>
      </c>
      <c r="E10" s="12" t="n"/>
    </row>
    <row r="11">
      <c r="A11" s="12" t="n">
        <v>8</v>
      </c>
      <c r="B11" s="19">
        <f>TARGET_GROWTH_BULAN</f>
        <v/>
      </c>
      <c r="C11" s="18">
        <f>D10</f>
        <v/>
      </c>
      <c r="D11" s="18">
        <f>C11*(1+B11)</f>
        <v/>
      </c>
      <c r="E11" s="12" t="n"/>
    </row>
    <row r="12">
      <c r="A12" s="12" t="n">
        <v>9</v>
      </c>
      <c r="B12" s="19">
        <f>TARGET_GROWTH_BULAN</f>
        <v/>
      </c>
      <c r="C12" s="18">
        <f>D11</f>
        <v/>
      </c>
      <c r="D12" s="18">
        <f>C12*(1+B12)</f>
        <v/>
      </c>
      <c r="E12" s="12" t="n"/>
    </row>
    <row r="13">
      <c r="A13" s="12" t="n">
        <v>10</v>
      </c>
      <c r="B13" s="19">
        <f>TARGET_GROWTH_BULAN</f>
        <v/>
      </c>
      <c r="C13" s="18">
        <f>D12</f>
        <v/>
      </c>
      <c r="D13" s="18">
        <f>C13*(1+B13)</f>
        <v/>
      </c>
      <c r="E13" s="12" t="n"/>
    </row>
    <row r="14">
      <c r="A14" s="12" t="n">
        <v>11</v>
      </c>
      <c r="B14" s="19">
        <f>TARGET_GROWTH_BULAN</f>
        <v/>
      </c>
      <c r="C14" s="18">
        <f>D13</f>
        <v/>
      </c>
      <c r="D14" s="18">
        <f>C14*(1+B14)</f>
        <v/>
      </c>
      <c r="E14" s="12" t="n"/>
    </row>
    <row r="15">
      <c r="A15" s="12" t="n">
        <v>12</v>
      </c>
      <c r="B15" s="19">
        <f>TARGET_GROWTH_BULAN</f>
        <v/>
      </c>
      <c r="C15" s="18">
        <f>D14</f>
        <v/>
      </c>
      <c r="D15" s="18">
        <f>C15*(1+B15)</f>
        <v/>
      </c>
      <c r="E15" s="12" t="n"/>
    </row>
    <row r="16">
      <c r="A16" s="12" t="n">
        <v>13</v>
      </c>
      <c r="B16" s="19">
        <f>TARGET_GROWTH_BULAN</f>
        <v/>
      </c>
      <c r="C16" s="18">
        <f>D15</f>
        <v/>
      </c>
      <c r="D16" s="18">
        <f>C16*(1+B16)</f>
        <v/>
      </c>
      <c r="E16" s="12" t="n"/>
    </row>
    <row r="17">
      <c r="A17" s="12" t="n">
        <v>14</v>
      </c>
      <c r="B17" s="19">
        <f>TARGET_GROWTH_BULAN</f>
        <v/>
      </c>
      <c r="C17" s="18">
        <f>D16</f>
        <v/>
      </c>
      <c r="D17" s="18">
        <f>C17*(1+B17)</f>
        <v/>
      </c>
      <c r="E17" s="12" t="n"/>
    </row>
    <row r="18">
      <c r="A18" s="12" t="n">
        <v>15</v>
      </c>
      <c r="B18" s="19">
        <f>TARGET_GROWTH_BULAN</f>
        <v/>
      </c>
      <c r="C18" s="18">
        <f>D17</f>
        <v/>
      </c>
      <c r="D18" s="18">
        <f>C18*(1+B18)</f>
        <v/>
      </c>
      <c r="E18" s="12" t="n"/>
    </row>
    <row r="19">
      <c r="A19" s="12" t="n">
        <v>16</v>
      </c>
      <c r="B19" s="19">
        <f>TARGET_GROWTH_BULAN</f>
        <v/>
      </c>
      <c r="C19" s="18">
        <f>D18</f>
        <v/>
      </c>
      <c r="D19" s="18">
        <f>C19*(1+B19)</f>
        <v/>
      </c>
      <c r="E19" s="12" t="n"/>
    </row>
    <row r="20">
      <c r="A20" s="12" t="n">
        <v>17</v>
      </c>
      <c r="B20" s="19">
        <f>TARGET_GROWTH_BULAN</f>
        <v/>
      </c>
      <c r="C20" s="18">
        <f>D19</f>
        <v/>
      </c>
      <c r="D20" s="18">
        <f>C20*(1+B20)</f>
        <v/>
      </c>
      <c r="E20" s="12" t="n"/>
    </row>
    <row r="21">
      <c r="A21" s="12" t="n">
        <v>18</v>
      </c>
      <c r="B21" s="19">
        <f>TARGET_GROWTH_BULAN</f>
        <v/>
      </c>
      <c r="C21" s="18">
        <f>D20</f>
        <v/>
      </c>
      <c r="D21" s="18">
        <f>C21*(1+B21)</f>
        <v/>
      </c>
      <c r="E21" s="12" t="n"/>
    </row>
    <row r="22">
      <c r="A22" s="12" t="n">
        <v>19</v>
      </c>
      <c r="B22" s="19">
        <f>TARGET_GROWTH_BULAN</f>
        <v/>
      </c>
      <c r="C22" s="18">
        <f>D21</f>
        <v/>
      </c>
      <c r="D22" s="18">
        <f>C22*(1+B22)</f>
        <v/>
      </c>
      <c r="E22" s="12" t="n"/>
    </row>
    <row r="23">
      <c r="A23" s="12" t="n">
        <v>20</v>
      </c>
      <c r="B23" s="19">
        <f>TARGET_GROWTH_BULAN</f>
        <v/>
      </c>
      <c r="C23" s="18">
        <f>D22</f>
        <v/>
      </c>
      <c r="D23" s="18">
        <f>C23*(1+B23)</f>
        <v/>
      </c>
      <c r="E23" s="12" t="n"/>
    </row>
    <row r="24">
      <c r="A24" s="12" t="n">
        <v>21</v>
      </c>
      <c r="B24" s="19">
        <f>TARGET_GROWTH_BULAN</f>
        <v/>
      </c>
      <c r="C24" s="18">
        <f>D23</f>
        <v/>
      </c>
      <c r="D24" s="18">
        <f>C24*(1+B24)</f>
        <v/>
      </c>
      <c r="E24" s="12" t="n"/>
    </row>
    <row r="25">
      <c r="A25" s="12" t="n">
        <v>22</v>
      </c>
      <c r="B25" s="19">
        <f>TARGET_GROWTH_BULAN</f>
        <v/>
      </c>
      <c r="C25" s="18">
        <f>D24</f>
        <v/>
      </c>
      <c r="D25" s="18">
        <f>C25*(1+B25)</f>
        <v/>
      </c>
      <c r="E25" s="12" t="n"/>
    </row>
    <row r="26">
      <c r="A26" s="12" t="n">
        <v>23</v>
      </c>
      <c r="B26" s="19">
        <f>TARGET_GROWTH_BULAN</f>
        <v/>
      </c>
      <c r="C26" s="18">
        <f>D25</f>
        <v/>
      </c>
      <c r="D26" s="18">
        <f>C26*(1+B26)</f>
        <v/>
      </c>
      <c r="E26" s="12" t="n"/>
    </row>
    <row r="27">
      <c r="A27" s="12" t="n">
        <v>24</v>
      </c>
      <c r="B27" s="19">
        <f>TARGET_GROWTH_BULAN</f>
        <v/>
      </c>
      <c r="C27" s="18">
        <f>D26</f>
        <v/>
      </c>
      <c r="D27" s="18">
        <f>C27*(1+B27)</f>
        <v/>
      </c>
      <c r="E27" s="12" t="n"/>
    </row>
    <row r="28">
      <c r="A28" s="12" t="n">
        <v>25</v>
      </c>
      <c r="B28" s="19">
        <f>TARGET_GROWTH_BULAN</f>
        <v/>
      </c>
      <c r="C28" s="18">
        <f>D27</f>
        <v/>
      </c>
      <c r="D28" s="18">
        <f>C28*(1+B28)</f>
        <v/>
      </c>
      <c r="E28" s="12" t="n"/>
    </row>
    <row r="29">
      <c r="A29" s="12" t="n">
        <v>26</v>
      </c>
      <c r="B29" s="19">
        <f>TARGET_GROWTH_BULAN</f>
        <v/>
      </c>
      <c r="C29" s="18">
        <f>D28</f>
        <v/>
      </c>
      <c r="D29" s="18">
        <f>C29*(1+B29)</f>
        <v/>
      </c>
      <c r="E29" s="12" t="n"/>
    </row>
    <row r="30">
      <c r="A30" s="12" t="n">
        <v>27</v>
      </c>
      <c r="B30" s="19">
        <f>TARGET_GROWTH_BULAN</f>
        <v/>
      </c>
      <c r="C30" s="18">
        <f>D29</f>
        <v/>
      </c>
      <c r="D30" s="18">
        <f>C30*(1+B30)</f>
        <v/>
      </c>
      <c r="E30" s="12" t="n"/>
    </row>
    <row r="31">
      <c r="A31" s="12" t="n">
        <v>28</v>
      </c>
      <c r="B31" s="19">
        <f>TARGET_GROWTH_BULAN</f>
        <v/>
      </c>
      <c r="C31" s="18">
        <f>D30</f>
        <v/>
      </c>
      <c r="D31" s="18">
        <f>C31*(1+B31)</f>
        <v/>
      </c>
      <c r="E31" s="12" t="n"/>
    </row>
    <row r="32">
      <c r="A32" s="12" t="n">
        <v>29</v>
      </c>
      <c r="B32" s="19">
        <f>TARGET_GROWTH_BULAN</f>
        <v/>
      </c>
      <c r="C32" s="18">
        <f>D31</f>
        <v/>
      </c>
      <c r="D32" s="18">
        <f>C32*(1+B32)</f>
        <v/>
      </c>
      <c r="E32" s="12" t="n"/>
    </row>
    <row r="33">
      <c r="A33" s="12" t="n">
        <v>30</v>
      </c>
      <c r="B33" s="19">
        <f>TARGET_GROWTH_BULAN</f>
        <v/>
      </c>
      <c r="C33" s="18">
        <f>D32</f>
        <v/>
      </c>
      <c r="D33" s="18">
        <f>C33*(1+B33)</f>
        <v/>
      </c>
      <c r="E33" s="12" t="n"/>
    </row>
    <row r="34">
      <c r="A34" s="12" t="n">
        <v>31</v>
      </c>
      <c r="B34" s="19">
        <f>TARGET_GROWTH_BULAN</f>
        <v/>
      </c>
      <c r="C34" s="18">
        <f>D33</f>
        <v/>
      </c>
      <c r="D34" s="18">
        <f>C34*(1+B34)</f>
        <v/>
      </c>
      <c r="E34" s="12" t="n"/>
    </row>
    <row r="35">
      <c r="A35" s="12" t="n">
        <v>32</v>
      </c>
      <c r="B35" s="19">
        <f>TARGET_GROWTH_BULAN</f>
        <v/>
      </c>
      <c r="C35" s="18">
        <f>D34</f>
        <v/>
      </c>
      <c r="D35" s="18">
        <f>C35*(1+B35)</f>
        <v/>
      </c>
      <c r="E35" s="12" t="n"/>
    </row>
    <row r="36">
      <c r="A36" s="12" t="n">
        <v>33</v>
      </c>
      <c r="B36" s="19">
        <f>TARGET_GROWTH_BULAN</f>
        <v/>
      </c>
      <c r="C36" s="18">
        <f>D35</f>
        <v/>
      </c>
      <c r="D36" s="18">
        <f>C36*(1+B36)</f>
        <v/>
      </c>
      <c r="E36" s="12" t="n"/>
    </row>
    <row r="37">
      <c r="A37" s="12" t="n">
        <v>34</v>
      </c>
      <c r="B37" s="19">
        <f>TARGET_GROWTH_BULAN</f>
        <v/>
      </c>
      <c r="C37" s="18">
        <f>D36</f>
        <v/>
      </c>
      <c r="D37" s="18">
        <f>C37*(1+B37)</f>
        <v/>
      </c>
      <c r="E37" s="12" t="n"/>
    </row>
    <row r="38">
      <c r="A38" s="12" t="n">
        <v>35</v>
      </c>
      <c r="B38" s="19">
        <f>TARGET_GROWTH_BULAN</f>
        <v/>
      </c>
      <c r="C38" s="18">
        <f>D37</f>
        <v/>
      </c>
      <c r="D38" s="18">
        <f>C38*(1+B38)</f>
        <v/>
      </c>
      <c r="E38" s="12" t="n"/>
    </row>
    <row r="39">
      <c r="A39" s="12" t="n">
        <v>36</v>
      </c>
      <c r="B39" s="19">
        <f>TARGET_GROWTH_BULAN</f>
        <v/>
      </c>
      <c r="C39" s="18">
        <f>D38</f>
        <v/>
      </c>
      <c r="D39" s="18">
        <f>C39*(1+B39)</f>
        <v/>
      </c>
      <c r="E39" s="12" t="n"/>
    </row>
    <row r="40">
      <c r="A40" s="12" t="n">
        <v>37</v>
      </c>
      <c r="B40" s="19">
        <f>TARGET_GROWTH_BULAN</f>
        <v/>
      </c>
      <c r="C40" s="18">
        <f>D39</f>
        <v/>
      </c>
      <c r="D40" s="18">
        <f>C40*(1+B40)</f>
        <v/>
      </c>
      <c r="E40" s="12" t="n"/>
    </row>
    <row r="41">
      <c r="A41" s="12" t="n">
        <v>38</v>
      </c>
      <c r="B41" s="19">
        <f>TARGET_GROWTH_BULAN</f>
        <v/>
      </c>
      <c r="C41" s="18">
        <f>D40</f>
        <v/>
      </c>
      <c r="D41" s="18">
        <f>C41*(1+B41)</f>
        <v/>
      </c>
      <c r="E41" s="12" t="n"/>
    </row>
    <row r="42">
      <c r="A42" s="12" t="n">
        <v>39</v>
      </c>
      <c r="B42" s="19">
        <f>TARGET_GROWTH_BULAN</f>
        <v/>
      </c>
      <c r="C42" s="18">
        <f>D41</f>
        <v/>
      </c>
      <c r="D42" s="18">
        <f>C42*(1+B42)</f>
        <v/>
      </c>
      <c r="E42" s="12" t="n"/>
    </row>
    <row r="43">
      <c r="A43" s="12" t="n">
        <v>40</v>
      </c>
      <c r="B43" s="19">
        <f>TARGET_GROWTH_BULAN</f>
        <v/>
      </c>
      <c r="C43" s="18">
        <f>D42</f>
        <v/>
      </c>
      <c r="D43" s="18">
        <f>C43*(1+B43)</f>
        <v/>
      </c>
      <c r="E43" s="12" t="n"/>
    </row>
    <row r="44">
      <c r="A44" s="12" t="n">
        <v>41</v>
      </c>
      <c r="B44" s="19">
        <f>TARGET_GROWTH_BULAN</f>
        <v/>
      </c>
      <c r="C44" s="18">
        <f>D43</f>
        <v/>
      </c>
      <c r="D44" s="18">
        <f>C44*(1+B44)</f>
        <v/>
      </c>
      <c r="E44" s="12" t="n"/>
    </row>
    <row r="45">
      <c r="A45" s="12" t="n">
        <v>42</v>
      </c>
      <c r="B45" s="19">
        <f>TARGET_GROWTH_BULAN</f>
        <v/>
      </c>
      <c r="C45" s="18">
        <f>D44</f>
        <v/>
      </c>
      <c r="D45" s="18">
        <f>C45*(1+B45)</f>
        <v/>
      </c>
      <c r="E45" s="12" t="n"/>
    </row>
    <row r="46">
      <c r="A46" s="12" t="n">
        <v>43</v>
      </c>
      <c r="B46" s="19">
        <f>TARGET_GROWTH_BULAN</f>
        <v/>
      </c>
      <c r="C46" s="18">
        <f>D45</f>
        <v/>
      </c>
      <c r="D46" s="18">
        <f>C46*(1+B46)</f>
        <v/>
      </c>
      <c r="E46" s="12" t="n"/>
    </row>
    <row r="47">
      <c r="A47" s="12" t="n">
        <v>44</v>
      </c>
      <c r="B47" s="19">
        <f>TARGET_GROWTH_BULAN</f>
        <v/>
      </c>
      <c r="C47" s="18">
        <f>D46</f>
        <v/>
      </c>
      <c r="D47" s="18">
        <f>C47*(1+B47)</f>
        <v/>
      </c>
      <c r="E47" s="12" t="n"/>
    </row>
    <row r="48">
      <c r="A48" s="12" t="n">
        <v>45</v>
      </c>
      <c r="B48" s="19">
        <f>TARGET_GROWTH_BULAN</f>
        <v/>
      </c>
      <c r="C48" s="18">
        <f>D47</f>
        <v/>
      </c>
      <c r="D48" s="18">
        <f>C48*(1+B48)</f>
        <v/>
      </c>
      <c r="E48" s="12" t="n"/>
    </row>
    <row r="49">
      <c r="A49" s="12" t="n">
        <v>46</v>
      </c>
      <c r="B49" s="19">
        <f>TARGET_GROWTH_BULAN</f>
        <v/>
      </c>
      <c r="C49" s="18">
        <f>D48</f>
        <v/>
      </c>
      <c r="D49" s="18">
        <f>C49*(1+B49)</f>
        <v/>
      </c>
      <c r="E49" s="12" t="n"/>
    </row>
    <row r="50">
      <c r="A50" s="12" t="n">
        <v>47</v>
      </c>
      <c r="B50" s="19">
        <f>TARGET_GROWTH_BULAN</f>
        <v/>
      </c>
      <c r="C50" s="18">
        <f>D49</f>
        <v/>
      </c>
      <c r="D50" s="18">
        <f>C50*(1+B50)</f>
        <v/>
      </c>
      <c r="E50" s="12" t="n"/>
    </row>
    <row r="51">
      <c r="A51" s="12" t="n">
        <v>48</v>
      </c>
      <c r="B51" s="19">
        <f>TARGET_GROWTH_BULAN</f>
        <v/>
      </c>
      <c r="C51" s="18">
        <f>D50</f>
        <v/>
      </c>
      <c r="D51" s="18">
        <f>C51*(1+B51)</f>
        <v/>
      </c>
      <c r="E51" s="12" t="n"/>
    </row>
    <row r="52">
      <c r="A52" s="12" t="n">
        <v>49</v>
      </c>
      <c r="B52" s="19">
        <f>TARGET_GROWTH_BULAN</f>
        <v/>
      </c>
      <c r="C52" s="18">
        <f>D51</f>
        <v/>
      </c>
      <c r="D52" s="18">
        <f>C52*(1+B52)</f>
        <v/>
      </c>
      <c r="E52" s="12" t="n"/>
    </row>
    <row r="53">
      <c r="A53" s="12" t="n">
        <v>50</v>
      </c>
      <c r="B53" s="19">
        <f>TARGET_GROWTH_BULAN</f>
        <v/>
      </c>
      <c r="C53" s="18">
        <f>D52</f>
        <v/>
      </c>
      <c r="D53" s="18">
        <f>C53*(1+B53)</f>
        <v/>
      </c>
      <c r="E53" s="12" t="n"/>
    </row>
    <row r="54">
      <c r="A54" s="12" t="n">
        <v>51</v>
      </c>
      <c r="B54" s="19">
        <f>TARGET_GROWTH_BULAN</f>
        <v/>
      </c>
      <c r="C54" s="18">
        <f>D53</f>
        <v/>
      </c>
      <c r="D54" s="18">
        <f>C54*(1+B54)</f>
        <v/>
      </c>
      <c r="E54" s="12" t="n"/>
    </row>
    <row r="55">
      <c r="A55" s="12" t="n">
        <v>52</v>
      </c>
      <c r="B55" s="19">
        <f>TARGET_GROWTH_BULAN</f>
        <v/>
      </c>
      <c r="C55" s="18">
        <f>D54</f>
        <v/>
      </c>
      <c r="D55" s="18">
        <f>C55*(1+B55)</f>
        <v/>
      </c>
      <c r="E55" s="12" t="n"/>
    </row>
    <row r="56">
      <c r="A56" s="12" t="n">
        <v>53</v>
      </c>
      <c r="B56" s="19">
        <f>TARGET_GROWTH_BULAN</f>
        <v/>
      </c>
      <c r="C56" s="18">
        <f>D55</f>
        <v/>
      </c>
      <c r="D56" s="18">
        <f>C56*(1+B56)</f>
        <v/>
      </c>
      <c r="E56" s="12" t="n"/>
    </row>
    <row r="57">
      <c r="A57" s="12" t="n">
        <v>54</v>
      </c>
      <c r="B57" s="19">
        <f>TARGET_GROWTH_BULAN</f>
        <v/>
      </c>
      <c r="C57" s="18">
        <f>D56</f>
        <v/>
      </c>
      <c r="D57" s="18">
        <f>C57*(1+B57)</f>
        <v/>
      </c>
      <c r="E57" s="12" t="n"/>
    </row>
    <row r="58">
      <c r="A58" s="12" t="n">
        <v>55</v>
      </c>
      <c r="B58" s="19">
        <f>TARGET_GROWTH_BULAN</f>
        <v/>
      </c>
      <c r="C58" s="18">
        <f>D57</f>
        <v/>
      </c>
      <c r="D58" s="18">
        <f>C58*(1+B58)</f>
        <v/>
      </c>
      <c r="E58" s="12" t="n"/>
    </row>
    <row r="59">
      <c r="A59" s="12" t="n">
        <v>56</v>
      </c>
      <c r="B59" s="19">
        <f>TARGET_GROWTH_BULAN</f>
        <v/>
      </c>
      <c r="C59" s="18">
        <f>D58</f>
        <v/>
      </c>
      <c r="D59" s="18">
        <f>C59*(1+B59)</f>
        <v/>
      </c>
      <c r="E59" s="12" t="n"/>
    </row>
    <row r="60">
      <c r="A60" s="12" t="n">
        <v>57</v>
      </c>
      <c r="B60" s="19">
        <f>TARGET_GROWTH_BULAN</f>
        <v/>
      </c>
      <c r="C60" s="18">
        <f>D59</f>
        <v/>
      </c>
      <c r="D60" s="18">
        <f>C60*(1+B60)</f>
        <v/>
      </c>
      <c r="E60" s="12" t="n"/>
    </row>
    <row r="61">
      <c r="A61" s="12" t="n">
        <v>58</v>
      </c>
      <c r="B61" s="19">
        <f>TARGET_GROWTH_BULAN</f>
        <v/>
      </c>
      <c r="C61" s="18">
        <f>D60</f>
        <v/>
      </c>
      <c r="D61" s="18">
        <f>C61*(1+B61)</f>
        <v/>
      </c>
      <c r="E61" s="12" t="n"/>
    </row>
    <row r="62">
      <c r="A62" s="12" t="n">
        <v>59</v>
      </c>
      <c r="B62" s="19">
        <f>TARGET_GROWTH_BULAN</f>
        <v/>
      </c>
      <c r="C62" s="18">
        <f>D61</f>
        <v/>
      </c>
      <c r="D62" s="18">
        <f>C62*(1+B62)</f>
        <v/>
      </c>
      <c r="E62" s="12" t="n"/>
    </row>
    <row r="63">
      <c r="A63" s="12" t="n">
        <v>60</v>
      </c>
      <c r="B63" s="19">
        <f>TARGET_GROWTH_BULAN</f>
        <v/>
      </c>
      <c r="C63" s="18">
        <f>D62</f>
        <v/>
      </c>
      <c r="D63" s="18">
        <f>C63*(1+B63)</f>
        <v/>
      </c>
      <c r="E63" s="12" t="n"/>
    </row>
    <row r="64">
      <c r="A64" s="12" t="n">
        <v>61</v>
      </c>
      <c r="B64" s="19">
        <f>TARGET_GROWTH_BULAN</f>
        <v/>
      </c>
      <c r="C64" s="18">
        <f>D63</f>
        <v/>
      </c>
      <c r="D64" s="18">
        <f>C64*(1+B64)</f>
        <v/>
      </c>
      <c r="E64" s="12" t="n"/>
    </row>
    <row r="65">
      <c r="A65" s="12" t="n">
        <v>62</v>
      </c>
      <c r="B65" s="19">
        <f>TARGET_GROWTH_BULAN</f>
        <v/>
      </c>
      <c r="C65" s="18">
        <f>D64</f>
        <v/>
      </c>
      <c r="D65" s="18">
        <f>C65*(1+B65)</f>
        <v/>
      </c>
      <c r="E65" s="12" t="n"/>
    </row>
    <row r="66">
      <c r="A66" s="12" t="n">
        <v>63</v>
      </c>
      <c r="B66" s="19">
        <f>TARGET_GROWTH_BULAN</f>
        <v/>
      </c>
      <c r="C66" s="18">
        <f>D65</f>
        <v/>
      </c>
      <c r="D66" s="18">
        <f>C66*(1+B66)</f>
        <v/>
      </c>
      <c r="E66" s="12" t="n"/>
    </row>
    <row r="67">
      <c r="A67" s="12" t="n">
        <v>64</v>
      </c>
      <c r="B67" s="19">
        <f>TARGET_GROWTH_BULAN</f>
        <v/>
      </c>
      <c r="C67" s="18">
        <f>D66</f>
        <v/>
      </c>
      <c r="D67" s="18">
        <f>C67*(1+B67)</f>
        <v/>
      </c>
      <c r="E67" s="12" t="n"/>
    </row>
    <row r="68">
      <c r="A68" s="12" t="n">
        <v>65</v>
      </c>
      <c r="B68" s="19">
        <f>TARGET_GROWTH_BULAN</f>
        <v/>
      </c>
      <c r="C68" s="18">
        <f>D67</f>
        <v/>
      </c>
      <c r="D68" s="18">
        <f>C68*(1+B68)</f>
        <v/>
      </c>
      <c r="E68" s="12" t="n"/>
    </row>
    <row r="69">
      <c r="A69" s="12" t="n">
        <v>66</v>
      </c>
      <c r="B69" s="19">
        <f>TARGET_GROWTH_BULAN</f>
        <v/>
      </c>
      <c r="C69" s="18">
        <f>D68</f>
        <v/>
      </c>
      <c r="D69" s="18">
        <f>C69*(1+B69)</f>
        <v/>
      </c>
      <c r="E69" s="12" t="n"/>
    </row>
    <row r="70">
      <c r="A70" s="12" t="n">
        <v>67</v>
      </c>
      <c r="B70" s="19">
        <f>TARGET_GROWTH_BULAN</f>
        <v/>
      </c>
      <c r="C70" s="18">
        <f>D69</f>
        <v/>
      </c>
      <c r="D70" s="18">
        <f>C70*(1+B70)</f>
        <v/>
      </c>
      <c r="E70" s="12" t="n"/>
    </row>
    <row r="71">
      <c r="A71" s="12" t="n">
        <v>68</v>
      </c>
      <c r="B71" s="19">
        <f>TARGET_GROWTH_BULAN</f>
        <v/>
      </c>
      <c r="C71" s="18">
        <f>D70</f>
        <v/>
      </c>
      <c r="D71" s="18">
        <f>C71*(1+B71)</f>
        <v/>
      </c>
      <c r="E71" s="12" t="n"/>
    </row>
    <row r="72">
      <c r="A72" s="12" t="n">
        <v>69</v>
      </c>
      <c r="B72" s="19">
        <f>TARGET_GROWTH_BULAN</f>
        <v/>
      </c>
      <c r="C72" s="18">
        <f>D71</f>
        <v/>
      </c>
      <c r="D72" s="18">
        <f>C72*(1+B72)</f>
        <v/>
      </c>
      <c r="E72" s="12" t="n"/>
    </row>
    <row r="73">
      <c r="A73" s="12" t="n">
        <v>70</v>
      </c>
      <c r="B73" s="19">
        <f>TARGET_GROWTH_BULAN</f>
        <v/>
      </c>
      <c r="C73" s="18">
        <f>D72</f>
        <v/>
      </c>
      <c r="D73" s="18">
        <f>C73*(1+B73)</f>
        <v/>
      </c>
      <c r="E73" s="12" t="n"/>
    </row>
    <row r="74">
      <c r="A74" s="12" t="n">
        <v>71</v>
      </c>
      <c r="B74" s="19">
        <f>TARGET_GROWTH_BULAN</f>
        <v/>
      </c>
      <c r="C74" s="18">
        <f>D73</f>
        <v/>
      </c>
      <c r="D74" s="18">
        <f>C74*(1+B74)</f>
        <v/>
      </c>
      <c r="E74" s="12" t="n"/>
    </row>
    <row r="75">
      <c r="A75" s="12" t="n">
        <v>72</v>
      </c>
      <c r="B75" s="19">
        <f>TARGET_GROWTH_BULAN</f>
        <v/>
      </c>
      <c r="C75" s="18">
        <f>D74</f>
        <v/>
      </c>
      <c r="D75" s="18">
        <f>C75*(1+B75)</f>
        <v/>
      </c>
      <c r="E75" s="12" t="n"/>
    </row>
    <row r="76">
      <c r="A76" s="12" t="n">
        <v>73</v>
      </c>
      <c r="B76" s="19">
        <f>TARGET_GROWTH_BULAN</f>
        <v/>
      </c>
      <c r="C76" s="18">
        <f>D75</f>
        <v/>
      </c>
      <c r="D76" s="18">
        <f>C76*(1+B76)</f>
        <v/>
      </c>
      <c r="E76" s="12" t="n"/>
    </row>
    <row r="77">
      <c r="A77" s="12" t="n">
        <v>74</v>
      </c>
      <c r="B77" s="19">
        <f>TARGET_GROWTH_BULAN</f>
        <v/>
      </c>
      <c r="C77" s="18">
        <f>D76</f>
        <v/>
      </c>
      <c r="D77" s="18">
        <f>C77*(1+B77)</f>
        <v/>
      </c>
      <c r="E77" s="12" t="n"/>
    </row>
    <row r="78">
      <c r="A78" s="12" t="n">
        <v>75</v>
      </c>
      <c r="B78" s="19">
        <f>TARGET_GROWTH_BULAN</f>
        <v/>
      </c>
      <c r="C78" s="18">
        <f>D77</f>
        <v/>
      </c>
      <c r="D78" s="18">
        <f>C78*(1+B78)</f>
        <v/>
      </c>
      <c r="E78" s="12" t="n"/>
    </row>
    <row r="79">
      <c r="A79" s="12" t="n">
        <v>76</v>
      </c>
      <c r="B79" s="19">
        <f>TARGET_GROWTH_BULAN</f>
        <v/>
      </c>
      <c r="C79" s="18">
        <f>D78</f>
        <v/>
      </c>
      <c r="D79" s="18">
        <f>C79*(1+B79)</f>
        <v/>
      </c>
      <c r="E79" s="12" t="n"/>
    </row>
    <row r="80">
      <c r="A80" s="12" t="n">
        <v>77</v>
      </c>
      <c r="B80" s="19">
        <f>TARGET_GROWTH_BULAN</f>
        <v/>
      </c>
      <c r="C80" s="18">
        <f>D79</f>
        <v/>
      </c>
      <c r="D80" s="18">
        <f>C80*(1+B80)</f>
        <v/>
      </c>
      <c r="E80" s="12" t="n"/>
    </row>
    <row r="81">
      <c r="A81" s="12" t="n">
        <v>78</v>
      </c>
      <c r="B81" s="19">
        <f>TARGET_GROWTH_BULAN</f>
        <v/>
      </c>
      <c r="C81" s="18">
        <f>D80</f>
        <v/>
      </c>
      <c r="D81" s="18">
        <f>C81*(1+B81)</f>
        <v/>
      </c>
      <c r="E81" s="12" t="n"/>
    </row>
    <row r="82">
      <c r="A82" s="12" t="n">
        <v>79</v>
      </c>
      <c r="B82" s="19">
        <f>TARGET_GROWTH_BULAN</f>
        <v/>
      </c>
      <c r="C82" s="18">
        <f>D81</f>
        <v/>
      </c>
      <c r="D82" s="18">
        <f>C82*(1+B82)</f>
        <v/>
      </c>
      <c r="E82" s="12" t="n"/>
    </row>
    <row r="83">
      <c r="A83" s="12" t="n">
        <v>80</v>
      </c>
      <c r="B83" s="19">
        <f>TARGET_GROWTH_BULAN</f>
        <v/>
      </c>
      <c r="C83" s="18">
        <f>D82</f>
        <v/>
      </c>
      <c r="D83" s="18">
        <f>C83*(1+B83)</f>
        <v/>
      </c>
      <c r="E83" s="12" t="n"/>
    </row>
    <row r="84">
      <c r="A84" s="12" t="n">
        <v>81</v>
      </c>
      <c r="B84" s="19">
        <f>TARGET_GROWTH_BULAN</f>
        <v/>
      </c>
      <c r="C84" s="18">
        <f>D83</f>
        <v/>
      </c>
      <c r="D84" s="18">
        <f>C84*(1+B84)</f>
        <v/>
      </c>
      <c r="E84" s="12" t="n"/>
    </row>
    <row r="85">
      <c r="A85" s="12" t="n">
        <v>82</v>
      </c>
      <c r="B85" s="19">
        <f>TARGET_GROWTH_BULAN</f>
        <v/>
      </c>
      <c r="C85" s="18">
        <f>D84</f>
        <v/>
      </c>
      <c r="D85" s="18">
        <f>C85*(1+B85)</f>
        <v/>
      </c>
      <c r="E85" s="12" t="n"/>
    </row>
    <row r="86">
      <c r="A86" s="12" t="n">
        <v>83</v>
      </c>
      <c r="B86" s="19">
        <f>TARGET_GROWTH_BULAN</f>
        <v/>
      </c>
      <c r="C86" s="18">
        <f>D85</f>
        <v/>
      </c>
      <c r="D86" s="18">
        <f>C86*(1+B86)</f>
        <v/>
      </c>
      <c r="E86" s="12" t="n"/>
    </row>
    <row r="87">
      <c r="A87" s="12" t="n">
        <v>84</v>
      </c>
      <c r="B87" s="19">
        <f>TARGET_GROWTH_BULAN</f>
        <v/>
      </c>
      <c r="C87" s="18">
        <f>D86</f>
        <v/>
      </c>
      <c r="D87" s="18">
        <f>C87*(1+B87)</f>
        <v/>
      </c>
      <c r="E87" s="12" t="n"/>
    </row>
    <row r="88">
      <c r="A88" s="12" t="n">
        <v>85</v>
      </c>
      <c r="B88" s="19">
        <f>TARGET_GROWTH_BULAN</f>
        <v/>
      </c>
      <c r="C88" s="18">
        <f>D87</f>
        <v/>
      </c>
      <c r="D88" s="18">
        <f>C88*(1+B88)</f>
        <v/>
      </c>
      <c r="E88" s="12" t="n"/>
    </row>
    <row r="89">
      <c r="A89" s="12" t="n">
        <v>86</v>
      </c>
      <c r="B89" s="19">
        <f>TARGET_GROWTH_BULAN</f>
        <v/>
      </c>
      <c r="C89" s="18">
        <f>D88</f>
        <v/>
      </c>
      <c r="D89" s="18">
        <f>C89*(1+B89)</f>
        <v/>
      </c>
      <c r="E89" s="12" t="n"/>
    </row>
    <row r="90">
      <c r="A90" s="12" t="n">
        <v>87</v>
      </c>
      <c r="B90" s="19">
        <f>TARGET_GROWTH_BULAN</f>
        <v/>
      </c>
      <c r="C90" s="18">
        <f>D89</f>
        <v/>
      </c>
      <c r="D90" s="18">
        <f>C90*(1+B90)</f>
        <v/>
      </c>
      <c r="E90" s="12" t="n"/>
    </row>
    <row r="91">
      <c r="A91" s="12" t="n">
        <v>88</v>
      </c>
      <c r="B91" s="19">
        <f>TARGET_GROWTH_BULAN</f>
        <v/>
      </c>
      <c r="C91" s="18">
        <f>D90</f>
        <v/>
      </c>
      <c r="D91" s="18">
        <f>C91*(1+B91)</f>
        <v/>
      </c>
      <c r="E91" s="12" t="n"/>
    </row>
    <row r="92">
      <c r="A92" s="12" t="n">
        <v>89</v>
      </c>
      <c r="B92" s="19">
        <f>TARGET_GROWTH_BULAN</f>
        <v/>
      </c>
      <c r="C92" s="18">
        <f>D91</f>
        <v/>
      </c>
      <c r="D92" s="18">
        <f>C92*(1+B92)</f>
        <v/>
      </c>
      <c r="E92" s="12" t="n"/>
    </row>
    <row r="93">
      <c r="A93" s="12" t="n">
        <v>90</v>
      </c>
      <c r="B93" s="19">
        <f>TARGET_GROWTH_BULAN</f>
        <v/>
      </c>
      <c r="C93" s="18">
        <f>D92</f>
        <v/>
      </c>
      <c r="D93" s="18">
        <f>C93*(1+B93)</f>
        <v/>
      </c>
      <c r="E93" s="12" t="n"/>
    </row>
    <row r="94">
      <c r="A94" s="12" t="n">
        <v>91</v>
      </c>
      <c r="B94" s="19">
        <f>TARGET_GROWTH_BULAN</f>
        <v/>
      </c>
      <c r="C94" s="18">
        <f>D93</f>
        <v/>
      </c>
      <c r="D94" s="18">
        <f>C94*(1+B94)</f>
        <v/>
      </c>
      <c r="E94" s="12" t="n"/>
    </row>
    <row r="95">
      <c r="A95" s="12" t="n">
        <v>92</v>
      </c>
      <c r="B95" s="19">
        <f>TARGET_GROWTH_BULAN</f>
        <v/>
      </c>
      <c r="C95" s="18">
        <f>D94</f>
        <v/>
      </c>
      <c r="D95" s="18">
        <f>C95*(1+B95)</f>
        <v/>
      </c>
      <c r="E95" s="12" t="n"/>
    </row>
    <row r="96">
      <c r="A96" s="12" t="n">
        <v>93</v>
      </c>
      <c r="B96" s="19">
        <f>TARGET_GROWTH_BULAN</f>
        <v/>
      </c>
      <c r="C96" s="18">
        <f>D95</f>
        <v/>
      </c>
      <c r="D96" s="18">
        <f>C96*(1+B96)</f>
        <v/>
      </c>
      <c r="E96" s="12" t="n"/>
    </row>
    <row r="97">
      <c r="A97" s="12" t="n">
        <v>94</v>
      </c>
      <c r="B97" s="19">
        <f>TARGET_GROWTH_BULAN</f>
        <v/>
      </c>
      <c r="C97" s="18">
        <f>D96</f>
        <v/>
      </c>
      <c r="D97" s="18">
        <f>C97*(1+B97)</f>
        <v/>
      </c>
      <c r="E97" s="12" t="n"/>
    </row>
    <row r="98">
      <c r="A98" s="12" t="n">
        <v>95</v>
      </c>
      <c r="B98" s="19">
        <f>TARGET_GROWTH_BULAN</f>
        <v/>
      </c>
      <c r="C98" s="18">
        <f>D97</f>
        <v/>
      </c>
      <c r="D98" s="18">
        <f>C98*(1+B98)</f>
        <v/>
      </c>
      <c r="E98" s="12" t="n"/>
    </row>
    <row r="99">
      <c r="A99" s="12" t="n">
        <v>96</v>
      </c>
      <c r="B99" s="19">
        <f>TARGET_GROWTH_BULAN</f>
        <v/>
      </c>
      <c r="C99" s="18">
        <f>D98</f>
        <v/>
      </c>
      <c r="D99" s="18">
        <f>C99*(1+B99)</f>
        <v/>
      </c>
      <c r="E99" s="12" t="n"/>
    </row>
    <row r="100">
      <c r="A100" s="12" t="n">
        <v>97</v>
      </c>
      <c r="B100" s="19">
        <f>TARGET_GROWTH_BULAN</f>
        <v/>
      </c>
      <c r="C100" s="18">
        <f>D99</f>
        <v/>
      </c>
      <c r="D100" s="18">
        <f>C100*(1+B100)</f>
        <v/>
      </c>
      <c r="E100" s="12" t="n"/>
    </row>
    <row r="101">
      <c r="A101" s="12" t="n">
        <v>98</v>
      </c>
      <c r="B101" s="19">
        <f>TARGET_GROWTH_BULAN</f>
        <v/>
      </c>
      <c r="C101" s="18">
        <f>D100</f>
        <v/>
      </c>
      <c r="D101" s="18">
        <f>C101*(1+B101)</f>
        <v/>
      </c>
      <c r="E101" s="12" t="n"/>
    </row>
    <row r="102">
      <c r="A102" s="12" t="n">
        <v>99</v>
      </c>
      <c r="B102" s="19">
        <f>TARGET_GROWTH_BULAN</f>
        <v/>
      </c>
      <c r="C102" s="18">
        <f>D101</f>
        <v/>
      </c>
      <c r="D102" s="18">
        <f>C102*(1+B102)</f>
        <v/>
      </c>
      <c r="E102" s="12" t="n"/>
    </row>
    <row r="103">
      <c r="A103" s="12" t="n">
        <v>100</v>
      </c>
      <c r="B103" s="19">
        <f>TARGET_GROWTH_BULAN</f>
        <v/>
      </c>
      <c r="C103" s="18">
        <f>D102</f>
        <v/>
      </c>
      <c r="D103" s="18">
        <f>C103*(1+B103)</f>
        <v/>
      </c>
      <c r="E103" s="12" t="n"/>
    </row>
    <row r="104">
      <c r="A104" s="12" t="n">
        <v>101</v>
      </c>
      <c r="B104" s="19">
        <f>TARGET_GROWTH_BULAN</f>
        <v/>
      </c>
      <c r="C104" s="18">
        <f>D103</f>
        <v/>
      </c>
      <c r="D104" s="18">
        <f>C104*(1+B104)</f>
        <v/>
      </c>
      <c r="E104" s="12" t="n"/>
    </row>
    <row r="105">
      <c r="A105" s="12" t="n">
        <v>102</v>
      </c>
      <c r="B105" s="19">
        <f>TARGET_GROWTH_BULAN</f>
        <v/>
      </c>
      <c r="C105" s="18">
        <f>D104</f>
        <v/>
      </c>
      <c r="D105" s="18">
        <f>C105*(1+B105)</f>
        <v/>
      </c>
      <c r="E105" s="12" t="n"/>
    </row>
    <row r="106">
      <c r="A106" s="12" t="n">
        <v>103</v>
      </c>
      <c r="B106" s="19">
        <f>TARGET_GROWTH_BULAN</f>
        <v/>
      </c>
      <c r="C106" s="18">
        <f>D105</f>
        <v/>
      </c>
      <c r="D106" s="18">
        <f>C106*(1+B106)</f>
        <v/>
      </c>
      <c r="E106" s="12" t="n"/>
    </row>
    <row r="107">
      <c r="A107" s="12" t="n">
        <v>104</v>
      </c>
      <c r="B107" s="19">
        <f>TARGET_GROWTH_BULAN</f>
        <v/>
      </c>
      <c r="C107" s="18">
        <f>D106</f>
        <v/>
      </c>
      <c r="D107" s="18">
        <f>C107*(1+B107)</f>
        <v/>
      </c>
      <c r="E107" s="12" t="n"/>
    </row>
    <row r="108">
      <c r="A108" s="12" t="n">
        <v>105</v>
      </c>
      <c r="B108" s="19">
        <f>TARGET_GROWTH_BULAN</f>
        <v/>
      </c>
      <c r="C108" s="18">
        <f>D107</f>
        <v/>
      </c>
      <c r="D108" s="18">
        <f>C108*(1+B108)</f>
        <v/>
      </c>
      <c r="E108" s="12" t="n"/>
    </row>
    <row r="109">
      <c r="A109" s="12" t="n">
        <v>106</v>
      </c>
      <c r="B109" s="19">
        <f>TARGET_GROWTH_BULAN</f>
        <v/>
      </c>
      <c r="C109" s="18">
        <f>D108</f>
        <v/>
      </c>
      <c r="D109" s="18">
        <f>C109*(1+B109)</f>
        <v/>
      </c>
      <c r="E109" s="12" t="n"/>
    </row>
    <row r="110">
      <c r="A110" s="12" t="n">
        <v>107</v>
      </c>
      <c r="B110" s="19">
        <f>TARGET_GROWTH_BULAN</f>
        <v/>
      </c>
      <c r="C110" s="18">
        <f>D109</f>
        <v/>
      </c>
      <c r="D110" s="18">
        <f>C110*(1+B110)</f>
        <v/>
      </c>
      <c r="E110" s="12" t="n"/>
    </row>
    <row r="111">
      <c r="A111" s="12" t="n">
        <v>108</v>
      </c>
      <c r="B111" s="19">
        <f>TARGET_GROWTH_BULAN</f>
        <v/>
      </c>
      <c r="C111" s="18">
        <f>D110</f>
        <v/>
      </c>
      <c r="D111" s="18">
        <f>C111*(1+B111)</f>
        <v/>
      </c>
      <c r="E111" s="12" t="n"/>
    </row>
    <row r="112">
      <c r="A112" s="12" t="n">
        <v>109</v>
      </c>
      <c r="B112" s="19">
        <f>TARGET_GROWTH_BULAN</f>
        <v/>
      </c>
      <c r="C112" s="18">
        <f>D111</f>
        <v/>
      </c>
      <c r="D112" s="18">
        <f>C112*(1+B112)</f>
        <v/>
      </c>
      <c r="E112" s="12" t="n"/>
    </row>
    <row r="113">
      <c r="A113" s="12" t="n">
        <v>110</v>
      </c>
      <c r="B113" s="19">
        <f>TARGET_GROWTH_BULAN</f>
        <v/>
      </c>
      <c r="C113" s="18">
        <f>D112</f>
        <v/>
      </c>
      <c r="D113" s="18">
        <f>C113*(1+B113)</f>
        <v/>
      </c>
      <c r="E113" s="12" t="n"/>
    </row>
    <row r="114">
      <c r="A114" s="12" t="n">
        <v>111</v>
      </c>
      <c r="B114" s="19">
        <f>TARGET_GROWTH_BULAN</f>
        <v/>
      </c>
      <c r="C114" s="18">
        <f>D113</f>
        <v/>
      </c>
      <c r="D114" s="18">
        <f>C114*(1+B114)</f>
        <v/>
      </c>
      <c r="E114" s="12" t="n"/>
    </row>
    <row r="115">
      <c r="A115" s="12" t="n">
        <v>112</v>
      </c>
      <c r="B115" s="19">
        <f>TARGET_GROWTH_BULAN</f>
        <v/>
      </c>
      <c r="C115" s="18">
        <f>D114</f>
        <v/>
      </c>
      <c r="D115" s="18">
        <f>C115*(1+B115)</f>
        <v/>
      </c>
      <c r="E115" s="12" t="n"/>
    </row>
    <row r="116">
      <c r="A116" s="12" t="n">
        <v>113</v>
      </c>
      <c r="B116" s="19">
        <f>TARGET_GROWTH_BULAN</f>
        <v/>
      </c>
      <c r="C116" s="18">
        <f>D115</f>
        <v/>
      </c>
      <c r="D116" s="18">
        <f>C116*(1+B116)</f>
        <v/>
      </c>
      <c r="E116" s="12" t="n"/>
    </row>
    <row r="117">
      <c r="A117" s="12" t="n">
        <v>114</v>
      </c>
      <c r="B117" s="19">
        <f>TARGET_GROWTH_BULAN</f>
        <v/>
      </c>
      <c r="C117" s="18">
        <f>D116</f>
        <v/>
      </c>
      <c r="D117" s="18">
        <f>C117*(1+B117)</f>
        <v/>
      </c>
      <c r="E117" s="12" t="n"/>
    </row>
    <row r="118">
      <c r="A118" s="12" t="n">
        <v>115</v>
      </c>
      <c r="B118" s="19">
        <f>TARGET_GROWTH_BULAN</f>
        <v/>
      </c>
      <c r="C118" s="18">
        <f>D117</f>
        <v/>
      </c>
      <c r="D118" s="18">
        <f>C118*(1+B118)</f>
        <v/>
      </c>
      <c r="E118" s="12" t="n"/>
    </row>
    <row r="119">
      <c r="A119" s="12" t="n">
        <v>116</v>
      </c>
      <c r="B119" s="19">
        <f>TARGET_GROWTH_BULAN</f>
        <v/>
      </c>
      <c r="C119" s="18">
        <f>D118</f>
        <v/>
      </c>
      <c r="D119" s="18">
        <f>C119*(1+B119)</f>
        <v/>
      </c>
      <c r="E119" s="12" t="n"/>
    </row>
    <row r="120">
      <c r="A120" s="12" t="n">
        <v>117</v>
      </c>
      <c r="B120" s="19">
        <f>TARGET_GROWTH_BULAN</f>
        <v/>
      </c>
      <c r="C120" s="18">
        <f>D119</f>
        <v/>
      </c>
      <c r="D120" s="18">
        <f>C120*(1+B120)</f>
        <v/>
      </c>
      <c r="E120" s="12" t="n"/>
    </row>
    <row r="121">
      <c r="A121" s="12" t="n">
        <v>118</v>
      </c>
      <c r="B121" s="19">
        <f>TARGET_GROWTH_BULAN</f>
        <v/>
      </c>
      <c r="C121" s="18">
        <f>D120</f>
        <v/>
      </c>
      <c r="D121" s="18">
        <f>C121*(1+B121)</f>
        <v/>
      </c>
      <c r="E121" s="12" t="n"/>
    </row>
    <row r="122">
      <c r="A122" s="12" t="n">
        <v>119</v>
      </c>
      <c r="B122" s="19">
        <f>TARGET_GROWTH_BULAN</f>
        <v/>
      </c>
      <c r="C122" s="18">
        <f>D121</f>
        <v/>
      </c>
      <c r="D122" s="18">
        <f>C122*(1+B122)</f>
        <v/>
      </c>
      <c r="E122" s="12" t="n"/>
    </row>
    <row r="123">
      <c r="A123" s="12" t="n">
        <v>120</v>
      </c>
      <c r="B123" s="19">
        <f>TARGET_GROWTH_BULAN</f>
        <v/>
      </c>
      <c r="C123" s="18">
        <f>D122</f>
        <v/>
      </c>
      <c r="D123" s="18">
        <f>C123*(1+B123)</f>
        <v/>
      </c>
      <c r="E123" s="12" t="n"/>
    </row>
  </sheetData>
  <mergeCells count="1">
    <mergeCell ref="G5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13.7109375" customWidth="1" min="1" max="1"/>
    <col width="16.7109375" customWidth="1" min="2" max="2"/>
    <col width="14.7109375" customWidth="1" min="3" max="8"/>
    <col width="24.7109375" customWidth="1" min="9" max="11"/>
  </cols>
  <sheetData>
    <row r="1">
      <c r="A1" s="8" t="inlineStr">
        <is>
          <t>Trade Journal Sakti</t>
        </is>
      </c>
    </row>
    <row r="3">
      <c r="A3" s="9" t="inlineStr">
        <is>
          <t>Tanggal</t>
        </is>
      </c>
      <c r="B3" s="9" t="inlineStr">
        <is>
          <t>Instrumen</t>
        </is>
      </c>
      <c r="C3" s="9" t="inlineStr">
        <is>
          <t>Entry</t>
        </is>
      </c>
      <c r="D3" s="9" t="inlineStr">
        <is>
          <t>StopLoss</t>
        </is>
      </c>
      <c r="E3" s="9" t="inlineStr">
        <is>
          <t>TakeProfit</t>
        </is>
      </c>
      <c r="F3" s="9" t="inlineStr">
        <is>
          <t>Lot/Qty</t>
        </is>
      </c>
      <c r="G3" s="9" t="inlineStr">
        <is>
          <t>Risk %</t>
        </is>
      </c>
      <c r="H3" s="9" t="inlineStr">
        <is>
          <t>Hasil P/L</t>
        </is>
      </c>
      <c r="I3" s="9" t="inlineStr">
        <is>
          <t>R Multiple</t>
        </is>
      </c>
      <c r="J3" s="9" t="inlineStr">
        <is>
          <t>Emosi/Catatan</t>
        </is>
      </c>
      <c r="K3" s="9" t="inlineStr">
        <is>
          <t>Screenshot Link</t>
        </is>
      </c>
      <c r="M3" s="2" t="inlineStr">
        <is>
          <t>Summary</t>
        </is>
      </c>
    </row>
    <row r="4">
      <c r="A4" s="20" t="n"/>
      <c r="B4" s="12" t="n"/>
      <c r="C4" s="18" t="n"/>
      <c r="D4" s="18" t="n"/>
      <c r="E4" s="18" t="n"/>
      <c r="F4" s="12" t="n"/>
      <c r="G4" s="19" t="n"/>
      <c r="H4" s="18" t="n"/>
      <c r="I4" s="12">
        <f>_xlfn.IFERROR(H4/RiskManagement!$B$7,0)</f>
        <v/>
      </c>
      <c r="J4" s="12" t="n"/>
      <c r="K4" s="12" t="n"/>
      <c r="M4" s="9" t="inlineStr">
        <is>
          <t>Total Trades</t>
        </is>
      </c>
      <c r="N4" s="12">
        <f>COUNTA(A4:A103)</f>
        <v/>
      </c>
    </row>
    <row r="5">
      <c r="A5" s="20" t="n"/>
      <c r="B5" s="12" t="n"/>
      <c r="C5" s="18" t="n"/>
      <c r="D5" s="18" t="n"/>
      <c r="E5" s="18" t="n"/>
      <c r="F5" s="12" t="n"/>
      <c r="G5" s="19" t="n"/>
      <c r="H5" s="18" t="n"/>
      <c r="I5" s="12">
        <f>_xlfn.IFERROR(H5/RiskManagement!$B$7,0)</f>
        <v/>
      </c>
      <c r="J5" s="12" t="n"/>
      <c r="K5" s="12" t="n"/>
      <c r="M5" s="9" t="inlineStr">
        <is>
          <t>Win Trades</t>
        </is>
      </c>
      <c r="N5" s="12">
        <f>COUNTIF(H4:H103,"&gt;0")</f>
        <v/>
      </c>
    </row>
    <row r="6">
      <c r="A6" s="20" t="n"/>
      <c r="B6" s="12" t="n"/>
      <c r="C6" s="18" t="n"/>
      <c r="D6" s="18" t="n"/>
      <c r="E6" s="18" t="n"/>
      <c r="F6" s="12" t="n"/>
      <c r="G6" s="19" t="n"/>
      <c r="H6" s="18" t="n"/>
      <c r="I6" s="12">
        <f>_xlfn.IFERROR(H6/RiskManagement!$B$7,0)</f>
        <v/>
      </c>
      <c r="J6" s="12" t="n"/>
      <c r="K6" s="12" t="n"/>
      <c r="M6" s="9" t="inlineStr">
        <is>
          <t>Lose Trades</t>
        </is>
      </c>
      <c r="N6" s="12">
        <f>COUNTIF(H4:H103,"&lt;0")</f>
        <v/>
      </c>
    </row>
    <row r="7">
      <c r="A7" s="20" t="n"/>
      <c r="B7" s="12" t="n"/>
      <c r="C7" s="18" t="n"/>
      <c r="D7" s="18" t="n"/>
      <c r="E7" s="18" t="n"/>
      <c r="F7" s="12" t="n"/>
      <c r="G7" s="19" t="n"/>
      <c r="H7" s="18" t="n"/>
      <c r="I7" s="12">
        <f>_xlfn.IFERROR(H7/RiskManagement!$B$7,0)</f>
        <v/>
      </c>
      <c r="J7" s="12" t="n"/>
      <c r="K7" s="12" t="n"/>
      <c r="M7" s="9" t="inlineStr">
        <is>
          <t>Win Rate</t>
        </is>
      </c>
      <c r="N7" s="19">
        <f>_xlfn.IFERROR(N5/N4,0)</f>
        <v/>
      </c>
    </row>
    <row r="8">
      <c r="A8" s="20" t="n"/>
      <c r="B8" s="12" t="n"/>
      <c r="C8" s="18" t="n"/>
      <c r="D8" s="18" t="n"/>
      <c r="E8" s="18" t="n"/>
      <c r="F8" s="12" t="n"/>
      <c r="G8" s="19" t="n"/>
      <c r="H8" s="18" t="n"/>
      <c r="I8" s="12">
        <f>_xlfn.IFERROR(H8/RiskManagement!$B$7,0)</f>
        <v/>
      </c>
      <c r="J8" s="12" t="n"/>
      <c r="K8" s="12" t="n"/>
      <c r="M8" s="9" t="inlineStr">
        <is>
          <t>Average R:R (avg R multiple wins)</t>
        </is>
      </c>
      <c r="N8" s="12">
        <f>_xlfn.IFERROR(AVERAGEIF(I4:I103,"&gt;0"),0)</f>
        <v/>
      </c>
    </row>
    <row r="9">
      <c r="A9" s="20" t="n"/>
      <c r="B9" s="12" t="n"/>
      <c r="C9" s="18" t="n"/>
      <c r="D9" s="18" t="n"/>
      <c r="E9" s="18" t="n"/>
      <c r="F9" s="12" t="n"/>
      <c r="G9" s="19" t="n"/>
      <c r="H9" s="18" t="n"/>
      <c r="I9" s="12">
        <f>_xlfn.IFERROR(H9/RiskManagement!$B$7,0)</f>
        <v/>
      </c>
      <c r="J9" s="12" t="n"/>
      <c r="K9" s="12" t="n"/>
      <c r="M9" s="9" t="inlineStr">
        <is>
          <t>Total P/L</t>
        </is>
      </c>
      <c r="N9" s="18">
        <f>SUM(H4:H103)</f>
        <v/>
      </c>
    </row>
    <row r="10">
      <c r="A10" s="20" t="n"/>
      <c r="B10" s="12" t="n"/>
      <c r="C10" s="18" t="n"/>
      <c r="D10" s="18" t="n"/>
      <c r="E10" s="18" t="n"/>
      <c r="F10" s="12" t="n"/>
      <c r="G10" s="19" t="n"/>
      <c r="H10" s="18" t="n"/>
      <c r="I10" s="12">
        <f>_xlfn.IFERROR(H10/RiskManagement!$B$7,0)</f>
        <v/>
      </c>
      <c r="J10" s="12" t="n"/>
      <c r="K10" s="12" t="n"/>
    </row>
    <row r="11">
      <c r="A11" s="20" t="n"/>
      <c r="B11" s="12" t="n"/>
      <c r="C11" s="18" t="n"/>
      <c r="D11" s="18" t="n"/>
      <c r="E11" s="18" t="n"/>
      <c r="F11" s="12" t="n"/>
      <c r="G11" s="19" t="n"/>
      <c r="H11" s="18" t="n"/>
      <c r="I11" s="12">
        <f>_xlfn.IFERROR(H11/RiskManagement!$B$7,0)</f>
        <v/>
      </c>
      <c r="J11" s="12" t="n"/>
      <c r="K11" s="12" t="n"/>
    </row>
    <row r="12">
      <c r="A12" s="20" t="n"/>
      <c r="B12" s="12" t="n"/>
      <c r="C12" s="18" t="n"/>
      <c r="D12" s="18" t="n"/>
      <c r="E12" s="18" t="n"/>
      <c r="F12" s="12" t="n"/>
      <c r="G12" s="19" t="n"/>
      <c r="H12" s="18" t="n"/>
      <c r="I12" s="12">
        <f>_xlfn.IFERROR(H12/RiskManagement!$B$7,0)</f>
        <v/>
      </c>
      <c r="J12" s="12" t="n"/>
      <c r="K12" s="12" t="n"/>
    </row>
    <row r="13">
      <c r="A13" s="20" t="n"/>
      <c r="B13" s="12" t="n"/>
      <c r="C13" s="18" t="n"/>
      <c r="D13" s="18" t="n"/>
      <c r="E13" s="18" t="n"/>
      <c r="F13" s="12" t="n"/>
      <c r="G13" s="19" t="n"/>
      <c r="H13" s="18" t="n"/>
      <c r="I13" s="12">
        <f>_xlfn.IFERROR(H13/RiskManagement!$B$7,0)</f>
        <v/>
      </c>
      <c r="J13" s="12" t="n"/>
      <c r="K13" s="12" t="n"/>
    </row>
    <row r="14">
      <c r="A14" s="20" t="n"/>
      <c r="B14" s="12" t="n"/>
      <c r="C14" s="18" t="n"/>
      <c r="D14" s="18" t="n"/>
      <c r="E14" s="18" t="n"/>
      <c r="F14" s="12" t="n"/>
      <c r="G14" s="19" t="n"/>
      <c r="H14" s="18" t="n"/>
      <c r="I14" s="12">
        <f>_xlfn.IFERROR(H14/RiskManagement!$B$7,0)</f>
        <v/>
      </c>
      <c r="J14" s="12" t="n"/>
      <c r="K14" s="12" t="n"/>
    </row>
    <row r="15">
      <c r="A15" s="20" t="n"/>
      <c r="B15" s="12" t="n"/>
      <c r="C15" s="18" t="n"/>
      <c r="D15" s="18" t="n"/>
      <c r="E15" s="18" t="n"/>
      <c r="F15" s="12" t="n"/>
      <c r="G15" s="19" t="n"/>
      <c r="H15" s="18" t="n"/>
      <c r="I15" s="12">
        <f>_xlfn.IFERROR(H15/RiskManagement!$B$7,0)</f>
        <v/>
      </c>
      <c r="J15" s="12" t="n"/>
      <c r="K15" s="12" t="n"/>
    </row>
    <row r="16">
      <c r="A16" s="20" t="n"/>
      <c r="B16" s="12" t="n"/>
      <c r="C16" s="18" t="n"/>
      <c r="D16" s="18" t="n"/>
      <c r="E16" s="18" t="n"/>
      <c r="F16" s="12" t="n"/>
      <c r="G16" s="19" t="n"/>
      <c r="H16" s="18" t="n"/>
      <c r="I16" s="12">
        <f>_xlfn.IFERROR(H16/RiskManagement!$B$7,0)</f>
        <v/>
      </c>
      <c r="J16" s="12" t="n"/>
      <c r="K16" s="12" t="n"/>
    </row>
    <row r="17">
      <c r="A17" s="20" t="n"/>
      <c r="B17" s="12" t="n"/>
      <c r="C17" s="18" t="n"/>
      <c r="D17" s="18" t="n"/>
      <c r="E17" s="18" t="n"/>
      <c r="F17" s="12" t="n"/>
      <c r="G17" s="19" t="n"/>
      <c r="H17" s="18" t="n"/>
      <c r="I17" s="12">
        <f>_xlfn.IFERROR(H17/RiskManagement!$B$7,0)</f>
        <v/>
      </c>
      <c r="J17" s="12" t="n"/>
      <c r="K17" s="12" t="n"/>
    </row>
    <row r="18">
      <c r="A18" s="20" t="n"/>
      <c r="B18" s="12" t="n"/>
      <c r="C18" s="18" t="n"/>
      <c r="D18" s="18" t="n"/>
      <c r="E18" s="18" t="n"/>
      <c r="F18" s="12" t="n"/>
      <c r="G18" s="19" t="n"/>
      <c r="H18" s="18" t="n"/>
      <c r="I18" s="12">
        <f>_xlfn.IFERROR(H18/RiskManagement!$B$7,0)</f>
        <v/>
      </c>
      <c r="J18" s="12" t="n"/>
      <c r="K18" s="12" t="n"/>
    </row>
    <row r="19">
      <c r="A19" s="20" t="n"/>
      <c r="B19" s="12" t="n"/>
      <c r="C19" s="18" t="n"/>
      <c r="D19" s="18" t="n"/>
      <c r="E19" s="18" t="n"/>
      <c r="F19" s="12" t="n"/>
      <c r="G19" s="19" t="n"/>
      <c r="H19" s="18" t="n"/>
      <c r="I19" s="12">
        <f>_xlfn.IFERROR(H19/RiskManagement!$B$7,0)</f>
        <v/>
      </c>
      <c r="J19" s="12" t="n"/>
      <c r="K19" s="12" t="n"/>
    </row>
    <row r="20">
      <c r="A20" s="20" t="n"/>
      <c r="B20" s="12" t="n"/>
      <c r="C20" s="18" t="n"/>
      <c r="D20" s="18" t="n"/>
      <c r="E20" s="18" t="n"/>
      <c r="F20" s="12" t="n"/>
      <c r="G20" s="19" t="n"/>
      <c r="H20" s="18" t="n"/>
      <c r="I20" s="12">
        <f>_xlfn.IFERROR(H20/RiskManagement!$B$7,0)</f>
        <v/>
      </c>
      <c r="J20" s="12" t="n"/>
      <c r="K20" s="12" t="n"/>
    </row>
    <row r="21">
      <c r="A21" s="20" t="n"/>
      <c r="B21" s="12" t="n"/>
      <c r="C21" s="18" t="n"/>
      <c r="D21" s="18" t="n"/>
      <c r="E21" s="18" t="n"/>
      <c r="F21" s="12" t="n"/>
      <c r="G21" s="19" t="n"/>
      <c r="H21" s="18" t="n"/>
      <c r="I21" s="12">
        <f>_xlfn.IFERROR(H21/RiskManagement!$B$7,0)</f>
        <v/>
      </c>
      <c r="J21" s="12" t="n"/>
      <c r="K21" s="12" t="n"/>
    </row>
    <row r="22">
      <c r="A22" s="20" t="n"/>
      <c r="B22" s="12" t="n"/>
      <c r="C22" s="18" t="n"/>
      <c r="D22" s="18" t="n"/>
      <c r="E22" s="18" t="n"/>
      <c r="F22" s="12" t="n"/>
      <c r="G22" s="19" t="n"/>
      <c r="H22" s="18" t="n"/>
      <c r="I22" s="12">
        <f>_xlfn.IFERROR(H22/RiskManagement!$B$7,0)</f>
        <v/>
      </c>
      <c r="J22" s="12" t="n"/>
      <c r="K22" s="12" t="n"/>
    </row>
    <row r="23">
      <c r="A23" s="20" t="n"/>
      <c r="B23" s="12" t="n"/>
      <c r="C23" s="18" t="n"/>
      <c r="D23" s="18" t="n"/>
      <c r="E23" s="18" t="n"/>
      <c r="F23" s="12" t="n"/>
      <c r="G23" s="19" t="n"/>
      <c r="H23" s="18" t="n"/>
      <c r="I23" s="12">
        <f>_xlfn.IFERROR(H23/RiskManagement!$B$7,0)</f>
        <v/>
      </c>
      <c r="J23" s="12" t="n"/>
      <c r="K23" s="12" t="n"/>
    </row>
    <row r="24">
      <c r="A24" s="20" t="n"/>
      <c r="B24" s="12" t="n"/>
      <c r="C24" s="18" t="n"/>
      <c r="D24" s="18" t="n"/>
      <c r="E24" s="18" t="n"/>
      <c r="F24" s="12" t="n"/>
      <c r="G24" s="19" t="n"/>
      <c r="H24" s="18" t="n"/>
      <c r="I24" s="12">
        <f>_xlfn.IFERROR(H24/RiskManagement!$B$7,0)</f>
        <v/>
      </c>
      <c r="J24" s="12" t="n"/>
      <c r="K24" s="12" t="n"/>
    </row>
    <row r="25">
      <c r="A25" s="20" t="n"/>
      <c r="B25" s="12" t="n"/>
      <c r="C25" s="18" t="n"/>
      <c r="D25" s="18" t="n"/>
      <c r="E25" s="18" t="n"/>
      <c r="F25" s="12" t="n"/>
      <c r="G25" s="19" t="n"/>
      <c r="H25" s="18" t="n"/>
      <c r="I25" s="12">
        <f>_xlfn.IFERROR(H25/RiskManagement!$B$7,0)</f>
        <v/>
      </c>
      <c r="J25" s="12" t="n"/>
      <c r="K25" s="12" t="n"/>
    </row>
    <row r="26">
      <c r="A26" s="20" t="n"/>
      <c r="B26" s="12" t="n"/>
      <c r="C26" s="18" t="n"/>
      <c r="D26" s="18" t="n"/>
      <c r="E26" s="18" t="n"/>
      <c r="F26" s="12" t="n"/>
      <c r="G26" s="19" t="n"/>
      <c r="H26" s="18" t="n"/>
      <c r="I26" s="12">
        <f>_xlfn.IFERROR(H26/RiskManagement!$B$7,0)</f>
        <v/>
      </c>
      <c r="J26" s="12" t="n"/>
      <c r="K26" s="12" t="n"/>
    </row>
    <row r="27">
      <c r="A27" s="20" t="n"/>
      <c r="B27" s="12" t="n"/>
      <c r="C27" s="18" t="n"/>
      <c r="D27" s="18" t="n"/>
      <c r="E27" s="18" t="n"/>
      <c r="F27" s="12" t="n"/>
      <c r="G27" s="19" t="n"/>
      <c r="H27" s="18" t="n"/>
      <c r="I27" s="12">
        <f>_xlfn.IFERROR(H27/RiskManagement!$B$7,0)</f>
        <v/>
      </c>
      <c r="J27" s="12" t="n"/>
      <c r="K27" s="12" t="n"/>
    </row>
    <row r="28">
      <c r="A28" s="20" t="n"/>
      <c r="B28" s="12" t="n"/>
      <c r="C28" s="18" t="n"/>
      <c r="D28" s="18" t="n"/>
      <c r="E28" s="18" t="n"/>
      <c r="F28" s="12" t="n"/>
      <c r="G28" s="19" t="n"/>
      <c r="H28" s="18" t="n"/>
      <c r="I28" s="12">
        <f>_xlfn.IFERROR(H28/RiskManagement!$B$7,0)</f>
        <v/>
      </c>
      <c r="J28" s="12" t="n"/>
      <c r="K28" s="12" t="n"/>
    </row>
    <row r="29">
      <c r="A29" s="20" t="n"/>
      <c r="B29" s="12" t="n"/>
      <c r="C29" s="18" t="n"/>
      <c r="D29" s="18" t="n"/>
      <c r="E29" s="18" t="n"/>
      <c r="F29" s="12" t="n"/>
      <c r="G29" s="19" t="n"/>
      <c r="H29" s="18" t="n"/>
      <c r="I29" s="12">
        <f>_xlfn.IFERROR(H29/RiskManagement!$B$7,0)</f>
        <v/>
      </c>
      <c r="J29" s="12" t="n"/>
      <c r="K29" s="12" t="n"/>
    </row>
    <row r="30">
      <c r="A30" s="20" t="n"/>
      <c r="B30" s="12" t="n"/>
      <c r="C30" s="18" t="n"/>
      <c r="D30" s="18" t="n"/>
      <c r="E30" s="18" t="n"/>
      <c r="F30" s="12" t="n"/>
      <c r="G30" s="19" t="n"/>
      <c r="H30" s="18" t="n"/>
      <c r="I30" s="12">
        <f>_xlfn.IFERROR(H30/RiskManagement!$B$7,0)</f>
        <v/>
      </c>
      <c r="J30" s="12" t="n"/>
      <c r="K30" s="12" t="n"/>
    </row>
    <row r="31">
      <c r="A31" s="20" t="n"/>
      <c r="B31" s="12" t="n"/>
      <c r="C31" s="18" t="n"/>
      <c r="D31" s="18" t="n"/>
      <c r="E31" s="18" t="n"/>
      <c r="F31" s="12" t="n"/>
      <c r="G31" s="19" t="n"/>
      <c r="H31" s="18" t="n"/>
      <c r="I31" s="12">
        <f>_xlfn.IFERROR(H31/RiskManagement!$B$7,0)</f>
        <v/>
      </c>
      <c r="J31" s="12" t="n"/>
      <c r="K31" s="12" t="n"/>
    </row>
    <row r="32">
      <c r="A32" s="20" t="n"/>
      <c r="B32" s="12" t="n"/>
      <c r="C32" s="18" t="n"/>
      <c r="D32" s="18" t="n"/>
      <c r="E32" s="18" t="n"/>
      <c r="F32" s="12" t="n"/>
      <c r="G32" s="19" t="n"/>
      <c r="H32" s="18" t="n"/>
      <c r="I32" s="12">
        <f>_xlfn.IFERROR(H32/RiskManagement!$B$7,0)</f>
        <v/>
      </c>
      <c r="J32" s="12" t="n"/>
      <c r="K32" s="12" t="n"/>
    </row>
    <row r="33">
      <c r="A33" s="20" t="n"/>
      <c r="B33" s="12" t="n"/>
      <c r="C33" s="18" t="n"/>
      <c r="D33" s="18" t="n"/>
      <c r="E33" s="18" t="n"/>
      <c r="F33" s="12" t="n"/>
      <c r="G33" s="19" t="n"/>
      <c r="H33" s="18" t="n"/>
      <c r="I33" s="12">
        <f>_xlfn.IFERROR(H33/RiskManagement!$B$7,0)</f>
        <v/>
      </c>
      <c r="J33" s="12" t="n"/>
      <c r="K33" s="12" t="n"/>
    </row>
    <row r="34">
      <c r="A34" s="20" t="n"/>
      <c r="B34" s="12" t="n"/>
      <c r="C34" s="18" t="n"/>
      <c r="D34" s="18" t="n"/>
      <c r="E34" s="18" t="n"/>
      <c r="F34" s="12" t="n"/>
      <c r="G34" s="19" t="n"/>
      <c r="H34" s="18" t="n"/>
      <c r="I34" s="12">
        <f>_xlfn.IFERROR(H34/RiskManagement!$B$7,0)</f>
        <v/>
      </c>
      <c r="J34" s="12" t="n"/>
      <c r="K34" s="12" t="n"/>
    </row>
    <row r="35">
      <c r="A35" s="20" t="n"/>
      <c r="B35" s="12" t="n"/>
      <c r="C35" s="18" t="n"/>
      <c r="D35" s="18" t="n"/>
      <c r="E35" s="18" t="n"/>
      <c r="F35" s="12" t="n"/>
      <c r="G35" s="19" t="n"/>
      <c r="H35" s="18" t="n"/>
      <c r="I35" s="12">
        <f>_xlfn.IFERROR(H35/RiskManagement!$B$7,0)</f>
        <v/>
      </c>
      <c r="J35" s="12" t="n"/>
      <c r="K35" s="12" t="n"/>
    </row>
    <row r="36">
      <c r="A36" s="20" t="n"/>
      <c r="B36" s="12" t="n"/>
      <c r="C36" s="18" t="n"/>
      <c r="D36" s="18" t="n"/>
      <c r="E36" s="18" t="n"/>
      <c r="F36" s="12" t="n"/>
      <c r="G36" s="19" t="n"/>
      <c r="H36" s="18" t="n"/>
      <c r="I36" s="12">
        <f>_xlfn.IFERROR(H36/RiskManagement!$B$7,0)</f>
        <v/>
      </c>
      <c r="J36" s="12" t="n"/>
      <c r="K36" s="12" t="n"/>
    </row>
    <row r="37">
      <c r="A37" s="20" t="n"/>
      <c r="B37" s="12" t="n"/>
      <c r="C37" s="18" t="n"/>
      <c r="D37" s="18" t="n"/>
      <c r="E37" s="18" t="n"/>
      <c r="F37" s="12" t="n"/>
      <c r="G37" s="19" t="n"/>
      <c r="H37" s="18" t="n"/>
      <c r="I37" s="12">
        <f>_xlfn.IFERROR(H37/RiskManagement!$B$7,0)</f>
        <v/>
      </c>
      <c r="J37" s="12" t="n"/>
      <c r="K37" s="12" t="n"/>
    </row>
    <row r="38">
      <c r="A38" s="20" t="n"/>
      <c r="B38" s="12" t="n"/>
      <c r="C38" s="18" t="n"/>
      <c r="D38" s="18" t="n"/>
      <c r="E38" s="18" t="n"/>
      <c r="F38" s="12" t="n"/>
      <c r="G38" s="19" t="n"/>
      <c r="H38" s="18" t="n"/>
      <c r="I38" s="12">
        <f>_xlfn.IFERROR(H38/RiskManagement!$B$7,0)</f>
        <v/>
      </c>
      <c r="J38" s="12" t="n"/>
      <c r="K38" s="12" t="n"/>
    </row>
    <row r="39">
      <c r="A39" s="20" t="n"/>
      <c r="B39" s="12" t="n"/>
      <c r="C39" s="18" t="n"/>
      <c r="D39" s="18" t="n"/>
      <c r="E39" s="18" t="n"/>
      <c r="F39" s="12" t="n"/>
      <c r="G39" s="19" t="n"/>
      <c r="H39" s="18" t="n"/>
      <c r="I39" s="12">
        <f>_xlfn.IFERROR(H39/RiskManagement!$B$7,0)</f>
        <v/>
      </c>
      <c r="J39" s="12" t="n"/>
      <c r="K39" s="12" t="n"/>
    </row>
    <row r="40">
      <c r="A40" s="20" t="n"/>
      <c r="B40" s="12" t="n"/>
      <c r="C40" s="18" t="n"/>
      <c r="D40" s="18" t="n"/>
      <c r="E40" s="18" t="n"/>
      <c r="F40" s="12" t="n"/>
      <c r="G40" s="19" t="n"/>
      <c r="H40" s="18" t="n"/>
      <c r="I40" s="12">
        <f>_xlfn.IFERROR(H40/RiskManagement!$B$7,0)</f>
        <v/>
      </c>
      <c r="J40" s="12" t="n"/>
      <c r="K40" s="12" t="n"/>
    </row>
    <row r="41">
      <c r="A41" s="20" t="n"/>
      <c r="B41" s="12" t="n"/>
      <c r="C41" s="18" t="n"/>
      <c r="D41" s="18" t="n"/>
      <c r="E41" s="18" t="n"/>
      <c r="F41" s="12" t="n"/>
      <c r="G41" s="19" t="n"/>
      <c r="H41" s="18" t="n"/>
      <c r="I41" s="12">
        <f>_xlfn.IFERROR(H41/RiskManagement!$B$7,0)</f>
        <v/>
      </c>
      <c r="J41" s="12" t="n"/>
      <c r="K41" s="12" t="n"/>
    </row>
    <row r="42">
      <c r="A42" s="20" t="n"/>
      <c r="B42" s="12" t="n"/>
      <c r="C42" s="18" t="n"/>
      <c r="D42" s="18" t="n"/>
      <c r="E42" s="18" t="n"/>
      <c r="F42" s="12" t="n"/>
      <c r="G42" s="19" t="n"/>
      <c r="H42" s="18" t="n"/>
      <c r="I42" s="12">
        <f>_xlfn.IFERROR(H42/RiskManagement!$B$7,0)</f>
        <v/>
      </c>
      <c r="J42" s="12" t="n"/>
      <c r="K42" s="12" t="n"/>
    </row>
    <row r="43">
      <c r="A43" s="20" t="n"/>
      <c r="B43" s="12" t="n"/>
      <c r="C43" s="18" t="n"/>
      <c r="D43" s="18" t="n"/>
      <c r="E43" s="18" t="n"/>
      <c r="F43" s="12" t="n"/>
      <c r="G43" s="19" t="n"/>
      <c r="H43" s="18" t="n"/>
      <c r="I43" s="12">
        <f>_xlfn.IFERROR(H43/RiskManagement!$B$7,0)</f>
        <v/>
      </c>
      <c r="J43" s="12" t="n"/>
      <c r="K43" s="12" t="n"/>
    </row>
    <row r="44">
      <c r="A44" s="20" t="n"/>
      <c r="B44" s="12" t="n"/>
      <c r="C44" s="18" t="n"/>
      <c r="D44" s="18" t="n"/>
      <c r="E44" s="18" t="n"/>
      <c r="F44" s="12" t="n"/>
      <c r="G44" s="19" t="n"/>
      <c r="H44" s="18" t="n"/>
      <c r="I44" s="12">
        <f>_xlfn.IFERROR(H44/RiskManagement!$B$7,0)</f>
        <v/>
      </c>
      <c r="J44" s="12" t="n"/>
      <c r="K44" s="12" t="n"/>
    </row>
    <row r="45">
      <c r="A45" s="20" t="n"/>
      <c r="B45" s="12" t="n"/>
      <c r="C45" s="18" t="n"/>
      <c r="D45" s="18" t="n"/>
      <c r="E45" s="18" t="n"/>
      <c r="F45" s="12" t="n"/>
      <c r="G45" s="19" t="n"/>
      <c r="H45" s="18" t="n"/>
      <c r="I45" s="12">
        <f>_xlfn.IFERROR(H45/RiskManagement!$B$7,0)</f>
        <v/>
      </c>
      <c r="J45" s="12" t="n"/>
      <c r="K45" s="12" t="n"/>
    </row>
    <row r="46">
      <c r="A46" s="20" t="n"/>
      <c r="B46" s="12" t="n"/>
      <c r="C46" s="18" t="n"/>
      <c r="D46" s="18" t="n"/>
      <c r="E46" s="18" t="n"/>
      <c r="F46" s="12" t="n"/>
      <c r="G46" s="19" t="n"/>
      <c r="H46" s="18" t="n"/>
      <c r="I46" s="12">
        <f>_xlfn.IFERROR(H46/RiskManagement!$B$7,0)</f>
        <v/>
      </c>
      <c r="J46" s="12" t="n"/>
      <c r="K46" s="12" t="n"/>
    </row>
    <row r="47">
      <c r="A47" s="20" t="n"/>
      <c r="B47" s="12" t="n"/>
      <c r="C47" s="18" t="n"/>
      <c r="D47" s="18" t="n"/>
      <c r="E47" s="18" t="n"/>
      <c r="F47" s="12" t="n"/>
      <c r="G47" s="19" t="n"/>
      <c r="H47" s="18" t="n"/>
      <c r="I47" s="12">
        <f>_xlfn.IFERROR(H47/RiskManagement!$B$7,0)</f>
        <v/>
      </c>
      <c r="J47" s="12" t="n"/>
      <c r="K47" s="12" t="n"/>
    </row>
    <row r="48">
      <c r="A48" s="20" t="n"/>
      <c r="B48" s="12" t="n"/>
      <c r="C48" s="18" t="n"/>
      <c r="D48" s="18" t="n"/>
      <c r="E48" s="18" t="n"/>
      <c r="F48" s="12" t="n"/>
      <c r="G48" s="19" t="n"/>
      <c r="H48" s="18" t="n"/>
      <c r="I48" s="12">
        <f>_xlfn.IFERROR(H48/RiskManagement!$B$7,0)</f>
        <v/>
      </c>
      <c r="J48" s="12" t="n"/>
      <c r="K48" s="12" t="n"/>
    </row>
    <row r="49">
      <c r="A49" s="20" t="n"/>
      <c r="B49" s="12" t="n"/>
      <c r="C49" s="18" t="n"/>
      <c r="D49" s="18" t="n"/>
      <c r="E49" s="18" t="n"/>
      <c r="F49" s="12" t="n"/>
      <c r="G49" s="19" t="n"/>
      <c r="H49" s="18" t="n"/>
      <c r="I49" s="12">
        <f>_xlfn.IFERROR(H49/RiskManagement!$B$7,0)</f>
        <v/>
      </c>
      <c r="J49" s="12" t="n"/>
      <c r="K49" s="12" t="n"/>
    </row>
    <row r="50">
      <c r="A50" s="20" t="n"/>
      <c r="B50" s="12" t="n"/>
      <c r="C50" s="18" t="n"/>
      <c r="D50" s="18" t="n"/>
      <c r="E50" s="18" t="n"/>
      <c r="F50" s="12" t="n"/>
      <c r="G50" s="19" t="n"/>
      <c r="H50" s="18" t="n"/>
      <c r="I50" s="12">
        <f>_xlfn.IFERROR(H50/RiskManagement!$B$7,0)</f>
        <v/>
      </c>
      <c r="J50" s="12" t="n"/>
      <c r="K50" s="12" t="n"/>
    </row>
    <row r="51">
      <c r="A51" s="20" t="n"/>
      <c r="B51" s="12" t="n"/>
      <c r="C51" s="18" t="n"/>
      <c r="D51" s="18" t="n"/>
      <c r="E51" s="18" t="n"/>
      <c r="F51" s="12" t="n"/>
      <c r="G51" s="19" t="n"/>
      <c r="H51" s="18" t="n"/>
      <c r="I51" s="12">
        <f>_xlfn.IFERROR(H51/RiskManagement!$B$7,0)</f>
        <v/>
      </c>
      <c r="J51" s="12" t="n"/>
      <c r="K51" s="12" t="n"/>
    </row>
    <row r="52">
      <c r="A52" s="20" t="n"/>
      <c r="B52" s="12" t="n"/>
      <c r="C52" s="18" t="n"/>
      <c r="D52" s="18" t="n"/>
      <c r="E52" s="18" t="n"/>
      <c r="F52" s="12" t="n"/>
      <c r="G52" s="19" t="n"/>
      <c r="H52" s="18" t="n"/>
      <c r="I52" s="12">
        <f>_xlfn.IFERROR(H52/RiskManagement!$B$7,0)</f>
        <v/>
      </c>
      <c r="J52" s="12" t="n"/>
      <c r="K52" s="12" t="n"/>
    </row>
    <row r="53">
      <c r="A53" s="20" t="n"/>
      <c r="B53" s="12" t="n"/>
      <c r="C53" s="18" t="n"/>
      <c r="D53" s="18" t="n"/>
      <c r="E53" s="18" t="n"/>
      <c r="F53" s="12" t="n"/>
      <c r="G53" s="19" t="n"/>
      <c r="H53" s="18" t="n"/>
      <c r="I53" s="12">
        <f>_xlfn.IFERROR(H53/RiskManagement!$B$7,0)</f>
        <v/>
      </c>
      <c r="J53" s="12" t="n"/>
      <c r="K53" s="12" t="n"/>
    </row>
    <row r="54">
      <c r="A54" s="20" t="n"/>
      <c r="B54" s="12" t="n"/>
      <c r="C54" s="18" t="n"/>
      <c r="D54" s="18" t="n"/>
      <c r="E54" s="18" t="n"/>
      <c r="F54" s="12" t="n"/>
      <c r="G54" s="19" t="n"/>
      <c r="H54" s="18" t="n"/>
      <c r="I54" s="12">
        <f>_xlfn.IFERROR(H54/RiskManagement!$B$7,0)</f>
        <v/>
      </c>
      <c r="J54" s="12" t="n"/>
      <c r="K54" s="12" t="n"/>
    </row>
    <row r="55">
      <c r="A55" s="20" t="n"/>
      <c r="B55" s="12" t="n"/>
      <c r="C55" s="18" t="n"/>
      <c r="D55" s="18" t="n"/>
      <c r="E55" s="18" t="n"/>
      <c r="F55" s="12" t="n"/>
      <c r="G55" s="19" t="n"/>
      <c r="H55" s="18" t="n"/>
      <c r="I55" s="12">
        <f>_xlfn.IFERROR(H55/RiskManagement!$B$7,0)</f>
        <v/>
      </c>
      <c r="J55" s="12" t="n"/>
      <c r="K55" s="12" t="n"/>
    </row>
    <row r="56">
      <c r="A56" s="20" t="n"/>
      <c r="B56" s="12" t="n"/>
      <c r="C56" s="18" t="n"/>
      <c r="D56" s="18" t="n"/>
      <c r="E56" s="18" t="n"/>
      <c r="F56" s="12" t="n"/>
      <c r="G56" s="19" t="n"/>
      <c r="H56" s="18" t="n"/>
      <c r="I56" s="12">
        <f>_xlfn.IFERROR(H56/RiskManagement!$B$7,0)</f>
        <v/>
      </c>
      <c r="J56" s="12" t="n"/>
      <c r="K56" s="12" t="n"/>
    </row>
    <row r="57">
      <c r="A57" s="20" t="n"/>
      <c r="B57" s="12" t="n"/>
      <c r="C57" s="18" t="n"/>
      <c r="D57" s="18" t="n"/>
      <c r="E57" s="18" t="n"/>
      <c r="F57" s="12" t="n"/>
      <c r="G57" s="19" t="n"/>
      <c r="H57" s="18" t="n"/>
      <c r="I57" s="12">
        <f>_xlfn.IFERROR(H57/RiskManagement!$B$7,0)</f>
        <v/>
      </c>
      <c r="J57" s="12" t="n"/>
      <c r="K57" s="12" t="n"/>
    </row>
    <row r="58">
      <c r="A58" s="20" t="n"/>
      <c r="B58" s="12" t="n"/>
      <c r="C58" s="18" t="n"/>
      <c r="D58" s="18" t="n"/>
      <c r="E58" s="18" t="n"/>
      <c r="F58" s="12" t="n"/>
      <c r="G58" s="19" t="n"/>
      <c r="H58" s="18" t="n"/>
      <c r="I58" s="12">
        <f>_xlfn.IFERROR(H58/RiskManagement!$B$7,0)</f>
        <v/>
      </c>
      <c r="J58" s="12" t="n"/>
      <c r="K58" s="12" t="n"/>
    </row>
    <row r="59">
      <c r="A59" s="20" t="n"/>
      <c r="B59" s="12" t="n"/>
      <c r="C59" s="18" t="n"/>
      <c r="D59" s="18" t="n"/>
      <c r="E59" s="18" t="n"/>
      <c r="F59" s="12" t="n"/>
      <c r="G59" s="19" t="n"/>
      <c r="H59" s="18" t="n"/>
      <c r="I59" s="12">
        <f>_xlfn.IFERROR(H59/RiskManagement!$B$7,0)</f>
        <v/>
      </c>
      <c r="J59" s="12" t="n"/>
      <c r="K59" s="12" t="n"/>
    </row>
    <row r="60">
      <c r="A60" s="20" t="n"/>
      <c r="B60" s="12" t="n"/>
      <c r="C60" s="18" t="n"/>
      <c r="D60" s="18" t="n"/>
      <c r="E60" s="18" t="n"/>
      <c r="F60" s="12" t="n"/>
      <c r="G60" s="19" t="n"/>
      <c r="H60" s="18" t="n"/>
      <c r="I60" s="12">
        <f>_xlfn.IFERROR(H60/RiskManagement!$B$7,0)</f>
        <v/>
      </c>
      <c r="J60" s="12" t="n"/>
      <c r="K60" s="12" t="n"/>
    </row>
    <row r="61">
      <c r="A61" s="20" t="n"/>
      <c r="B61" s="12" t="n"/>
      <c r="C61" s="18" t="n"/>
      <c r="D61" s="18" t="n"/>
      <c r="E61" s="18" t="n"/>
      <c r="F61" s="12" t="n"/>
      <c r="G61" s="19" t="n"/>
      <c r="H61" s="18" t="n"/>
      <c r="I61" s="12">
        <f>_xlfn.IFERROR(H61/RiskManagement!$B$7,0)</f>
        <v/>
      </c>
      <c r="J61" s="12" t="n"/>
      <c r="K61" s="12" t="n"/>
    </row>
    <row r="62">
      <c r="A62" s="20" t="n"/>
      <c r="B62" s="12" t="n"/>
      <c r="C62" s="18" t="n"/>
      <c r="D62" s="18" t="n"/>
      <c r="E62" s="18" t="n"/>
      <c r="F62" s="12" t="n"/>
      <c r="G62" s="19" t="n"/>
      <c r="H62" s="18" t="n"/>
      <c r="I62" s="12">
        <f>_xlfn.IFERROR(H62/RiskManagement!$B$7,0)</f>
        <v/>
      </c>
      <c r="J62" s="12" t="n"/>
      <c r="K62" s="12" t="n"/>
    </row>
    <row r="63">
      <c r="A63" s="20" t="n"/>
      <c r="B63" s="12" t="n"/>
      <c r="C63" s="18" t="n"/>
      <c r="D63" s="18" t="n"/>
      <c r="E63" s="18" t="n"/>
      <c r="F63" s="12" t="n"/>
      <c r="G63" s="19" t="n"/>
      <c r="H63" s="18" t="n"/>
      <c r="I63" s="12">
        <f>_xlfn.IFERROR(H63/RiskManagement!$B$7,0)</f>
        <v/>
      </c>
      <c r="J63" s="12" t="n"/>
      <c r="K63" s="12" t="n"/>
    </row>
    <row r="64">
      <c r="A64" s="20" t="n"/>
      <c r="B64" s="12" t="n"/>
      <c r="C64" s="18" t="n"/>
      <c r="D64" s="18" t="n"/>
      <c r="E64" s="18" t="n"/>
      <c r="F64" s="12" t="n"/>
      <c r="G64" s="19" t="n"/>
      <c r="H64" s="18" t="n"/>
      <c r="I64" s="12">
        <f>_xlfn.IFERROR(H64/RiskManagement!$B$7,0)</f>
        <v/>
      </c>
      <c r="J64" s="12" t="n"/>
      <c r="K64" s="12" t="n"/>
    </row>
    <row r="65">
      <c r="A65" s="20" t="n"/>
      <c r="B65" s="12" t="n"/>
      <c r="C65" s="18" t="n"/>
      <c r="D65" s="18" t="n"/>
      <c r="E65" s="18" t="n"/>
      <c r="F65" s="12" t="n"/>
      <c r="G65" s="19" t="n"/>
      <c r="H65" s="18" t="n"/>
      <c r="I65" s="12">
        <f>_xlfn.IFERROR(H65/RiskManagement!$B$7,0)</f>
        <v/>
      </c>
      <c r="J65" s="12" t="n"/>
      <c r="K65" s="12" t="n"/>
    </row>
    <row r="66">
      <c r="A66" s="20" t="n"/>
      <c r="B66" s="12" t="n"/>
      <c r="C66" s="18" t="n"/>
      <c r="D66" s="18" t="n"/>
      <c r="E66" s="18" t="n"/>
      <c r="F66" s="12" t="n"/>
      <c r="G66" s="19" t="n"/>
      <c r="H66" s="18" t="n"/>
      <c r="I66" s="12">
        <f>_xlfn.IFERROR(H66/RiskManagement!$B$7,0)</f>
        <v/>
      </c>
      <c r="J66" s="12" t="n"/>
      <c r="K66" s="12" t="n"/>
    </row>
    <row r="67">
      <c r="A67" s="20" t="n"/>
      <c r="B67" s="12" t="n"/>
      <c r="C67" s="18" t="n"/>
      <c r="D67" s="18" t="n"/>
      <c r="E67" s="18" t="n"/>
      <c r="F67" s="12" t="n"/>
      <c r="G67" s="19" t="n"/>
      <c r="H67" s="18" t="n"/>
      <c r="I67" s="12">
        <f>_xlfn.IFERROR(H67/RiskManagement!$B$7,0)</f>
        <v/>
      </c>
      <c r="J67" s="12" t="n"/>
      <c r="K67" s="12" t="n"/>
    </row>
    <row r="68">
      <c r="A68" s="20" t="n"/>
      <c r="B68" s="12" t="n"/>
      <c r="C68" s="18" t="n"/>
      <c r="D68" s="18" t="n"/>
      <c r="E68" s="18" t="n"/>
      <c r="F68" s="12" t="n"/>
      <c r="G68" s="19" t="n"/>
      <c r="H68" s="18" t="n"/>
      <c r="I68" s="12">
        <f>_xlfn.IFERROR(H68/RiskManagement!$B$7,0)</f>
        <v/>
      </c>
      <c r="J68" s="12" t="n"/>
      <c r="K68" s="12" t="n"/>
    </row>
    <row r="69">
      <c r="A69" s="20" t="n"/>
      <c r="B69" s="12" t="n"/>
      <c r="C69" s="18" t="n"/>
      <c r="D69" s="18" t="n"/>
      <c r="E69" s="18" t="n"/>
      <c r="F69" s="12" t="n"/>
      <c r="G69" s="19" t="n"/>
      <c r="H69" s="18" t="n"/>
      <c r="I69" s="12">
        <f>_xlfn.IFERROR(H69/RiskManagement!$B$7,0)</f>
        <v/>
      </c>
      <c r="J69" s="12" t="n"/>
      <c r="K69" s="12" t="n"/>
    </row>
    <row r="70">
      <c r="A70" s="20" t="n"/>
      <c r="B70" s="12" t="n"/>
      <c r="C70" s="18" t="n"/>
      <c r="D70" s="18" t="n"/>
      <c r="E70" s="18" t="n"/>
      <c r="F70" s="12" t="n"/>
      <c r="G70" s="19" t="n"/>
      <c r="H70" s="18" t="n"/>
      <c r="I70" s="12">
        <f>_xlfn.IFERROR(H70/RiskManagement!$B$7,0)</f>
        <v/>
      </c>
      <c r="J70" s="12" t="n"/>
      <c r="K70" s="12" t="n"/>
    </row>
    <row r="71">
      <c r="A71" s="20" t="n"/>
      <c r="B71" s="12" t="n"/>
      <c r="C71" s="18" t="n"/>
      <c r="D71" s="18" t="n"/>
      <c r="E71" s="18" t="n"/>
      <c r="F71" s="12" t="n"/>
      <c r="G71" s="19" t="n"/>
      <c r="H71" s="18" t="n"/>
      <c r="I71" s="12">
        <f>_xlfn.IFERROR(H71/RiskManagement!$B$7,0)</f>
        <v/>
      </c>
      <c r="J71" s="12" t="n"/>
      <c r="K71" s="12" t="n"/>
    </row>
    <row r="72">
      <c r="A72" s="20" t="n"/>
      <c r="B72" s="12" t="n"/>
      <c r="C72" s="18" t="n"/>
      <c r="D72" s="18" t="n"/>
      <c r="E72" s="18" t="n"/>
      <c r="F72" s="12" t="n"/>
      <c r="G72" s="19" t="n"/>
      <c r="H72" s="18" t="n"/>
      <c r="I72" s="12">
        <f>_xlfn.IFERROR(H72/RiskManagement!$B$7,0)</f>
        <v/>
      </c>
      <c r="J72" s="12" t="n"/>
      <c r="K72" s="12" t="n"/>
    </row>
    <row r="73">
      <c r="A73" s="20" t="n"/>
      <c r="B73" s="12" t="n"/>
      <c r="C73" s="18" t="n"/>
      <c r="D73" s="18" t="n"/>
      <c r="E73" s="18" t="n"/>
      <c r="F73" s="12" t="n"/>
      <c r="G73" s="19" t="n"/>
      <c r="H73" s="18" t="n"/>
      <c r="I73" s="12">
        <f>_xlfn.IFERROR(H73/RiskManagement!$B$7,0)</f>
        <v/>
      </c>
      <c r="J73" s="12" t="n"/>
      <c r="K73" s="12" t="n"/>
    </row>
    <row r="74">
      <c r="A74" s="20" t="n"/>
      <c r="B74" s="12" t="n"/>
      <c r="C74" s="18" t="n"/>
      <c r="D74" s="18" t="n"/>
      <c r="E74" s="18" t="n"/>
      <c r="F74" s="12" t="n"/>
      <c r="G74" s="19" t="n"/>
      <c r="H74" s="18" t="n"/>
      <c r="I74" s="12">
        <f>_xlfn.IFERROR(H74/RiskManagement!$B$7,0)</f>
        <v/>
      </c>
      <c r="J74" s="12" t="n"/>
      <c r="K74" s="12" t="n"/>
    </row>
    <row r="75">
      <c r="A75" s="20" t="n"/>
      <c r="B75" s="12" t="n"/>
      <c r="C75" s="18" t="n"/>
      <c r="D75" s="18" t="n"/>
      <c r="E75" s="18" t="n"/>
      <c r="F75" s="12" t="n"/>
      <c r="G75" s="19" t="n"/>
      <c r="H75" s="18" t="n"/>
      <c r="I75" s="12">
        <f>_xlfn.IFERROR(H75/RiskManagement!$B$7,0)</f>
        <v/>
      </c>
      <c r="J75" s="12" t="n"/>
      <c r="K75" s="12" t="n"/>
    </row>
    <row r="76">
      <c r="A76" s="20" t="n"/>
      <c r="B76" s="12" t="n"/>
      <c r="C76" s="18" t="n"/>
      <c r="D76" s="18" t="n"/>
      <c r="E76" s="18" t="n"/>
      <c r="F76" s="12" t="n"/>
      <c r="G76" s="19" t="n"/>
      <c r="H76" s="18" t="n"/>
      <c r="I76" s="12">
        <f>_xlfn.IFERROR(H76/RiskManagement!$B$7,0)</f>
        <v/>
      </c>
      <c r="J76" s="12" t="n"/>
      <c r="K76" s="12" t="n"/>
    </row>
    <row r="77">
      <c r="A77" s="20" t="n"/>
      <c r="B77" s="12" t="n"/>
      <c r="C77" s="18" t="n"/>
      <c r="D77" s="18" t="n"/>
      <c r="E77" s="18" t="n"/>
      <c r="F77" s="12" t="n"/>
      <c r="G77" s="19" t="n"/>
      <c r="H77" s="18" t="n"/>
      <c r="I77" s="12">
        <f>_xlfn.IFERROR(H77/RiskManagement!$B$7,0)</f>
        <v/>
      </c>
      <c r="J77" s="12" t="n"/>
      <c r="K77" s="12" t="n"/>
    </row>
    <row r="78">
      <c r="A78" s="20" t="n"/>
      <c r="B78" s="12" t="n"/>
      <c r="C78" s="18" t="n"/>
      <c r="D78" s="18" t="n"/>
      <c r="E78" s="18" t="n"/>
      <c r="F78" s="12" t="n"/>
      <c r="G78" s="19" t="n"/>
      <c r="H78" s="18" t="n"/>
      <c r="I78" s="12">
        <f>_xlfn.IFERROR(H78/RiskManagement!$B$7,0)</f>
        <v/>
      </c>
      <c r="J78" s="12" t="n"/>
      <c r="K78" s="12" t="n"/>
    </row>
    <row r="79">
      <c r="A79" s="20" t="n"/>
      <c r="B79" s="12" t="n"/>
      <c r="C79" s="18" t="n"/>
      <c r="D79" s="18" t="n"/>
      <c r="E79" s="18" t="n"/>
      <c r="F79" s="12" t="n"/>
      <c r="G79" s="19" t="n"/>
      <c r="H79" s="18" t="n"/>
      <c r="I79" s="12">
        <f>_xlfn.IFERROR(H79/RiskManagement!$B$7,0)</f>
        <v/>
      </c>
      <c r="J79" s="12" t="n"/>
      <c r="K79" s="12" t="n"/>
    </row>
    <row r="80">
      <c r="A80" s="20" t="n"/>
      <c r="B80" s="12" t="n"/>
      <c r="C80" s="18" t="n"/>
      <c r="D80" s="18" t="n"/>
      <c r="E80" s="18" t="n"/>
      <c r="F80" s="12" t="n"/>
      <c r="G80" s="19" t="n"/>
      <c r="H80" s="18" t="n"/>
      <c r="I80" s="12">
        <f>_xlfn.IFERROR(H80/RiskManagement!$B$7,0)</f>
        <v/>
      </c>
      <c r="J80" s="12" t="n"/>
      <c r="K80" s="12" t="n"/>
    </row>
    <row r="81">
      <c r="A81" s="20" t="n"/>
      <c r="B81" s="12" t="n"/>
      <c r="C81" s="18" t="n"/>
      <c r="D81" s="18" t="n"/>
      <c r="E81" s="18" t="n"/>
      <c r="F81" s="12" t="n"/>
      <c r="G81" s="19" t="n"/>
      <c r="H81" s="18" t="n"/>
      <c r="I81" s="12">
        <f>_xlfn.IFERROR(H81/RiskManagement!$B$7,0)</f>
        <v/>
      </c>
      <c r="J81" s="12" t="n"/>
      <c r="K81" s="12" t="n"/>
    </row>
    <row r="82">
      <c r="A82" s="20" t="n"/>
      <c r="B82" s="12" t="n"/>
      <c r="C82" s="18" t="n"/>
      <c r="D82" s="18" t="n"/>
      <c r="E82" s="18" t="n"/>
      <c r="F82" s="12" t="n"/>
      <c r="G82" s="19" t="n"/>
      <c r="H82" s="18" t="n"/>
      <c r="I82" s="12">
        <f>_xlfn.IFERROR(H82/RiskManagement!$B$7,0)</f>
        <v/>
      </c>
      <c r="J82" s="12" t="n"/>
      <c r="K82" s="12" t="n"/>
    </row>
    <row r="83">
      <c r="A83" s="20" t="n"/>
      <c r="B83" s="12" t="n"/>
      <c r="C83" s="18" t="n"/>
      <c r="D83" s="18" t="n"/>
      <c r="E83" s="18" t="n"/>
      <c r="F83" s="12" t="n"/>
      <c r="G83" s="19" t="n"/>
      <c r="H83" s="18" t="n"/>
      <c r="I83" s="12">
        <f>_xlfn.IFERROR(H83/RiskManagement!$B$7,0)</f>
        <v/>
      </c>
      <c r="J83" s="12" t="n"/>
      <c r="K83" s="12" t="n"/>
    </row>
    <row r="84">
      <c r="A84" s="20" t="n"/>
      <c r="B84" s="12" t="n"/>
      <c r="C84" s="18" t="n"/>
      <c r="D84" s="18" t="n"/>
      <c r="E84" s="18" t="n"/>
      <c r="F84" s="12" t="n"/>
      <c r="G84" s="19" t="n"/>
      <c r="H84" s="18" t="n"/>
      <c r="I84" s="12">
        <f>_xlfn.IFERROR(H84/RiskManagement!$B$7,0)</f>
        <v/>
      </c>
      <c r="J84" s="12" t="n"/>
      <c r="K84" s="12" t="n"/>
    </row>
    <row r="85">
      <c r="A85" s="20" t="n"/>
      <c r="B85" s="12" t="n"/>
      <c r="C85" s="18" t="n"/>
      <c r="D85" s="18" t="n"/>
      <c r="E85" s="18" t="n"/>
      <c r="F85" s="12" t="n"/>
      <c r="G85" s="19" t="n"/>
      <c r="H85" s="18" t="n"/>
      <c r="I85" s="12">
        <f>_xlfn.IFERROR(H85/RiskManagement!$B$7,0)</f>
        <v/>
      </c>
      <c r="J85" s="12" t="n"/>
      <c r="K85" s="12" t="n"/>
    </row>
    <row r="86">
      <c r="A86" s="20" t="n"/>
      <c r="B86" s="12" t="n"/>
      <c r="C86" s="18" t="n"/>
      <c r="D86" s="18" t="n"/>
      <c r="E86" s="18" t="n"/>
      <c r="F86" s="12" t="n"/>
      <c r="G86" s="19" t="n"/>
      <c r="H86" s="18" t="n"/>
      <c r="I86" s="12">
        <f>_xlfn.IFERROR(H86/RiskManagement!$B$7,0)</f>
        <v/>
      </c>
      <c r="J86" s="12" t="n"/>
      <c r="K86" s="12" t="n"/>
    </row>
    <row r="87">
      <c r="A87" s="20" t="n"/>
      <c r="B87" s="12" t="n"/>
      <c r="C87" s="18" t="n"/>
      <c r="D87" s="18" t="n"/>
      <c r="E87" s="18" t="n"/>
      <c r="F87" s="12" t="n"/>
      <c r="G87" s="19" t="n"/>
      <c r="H87" s="18" t="n"/>
      <c r="I87" s="12">
        <f>_xlfn.IFERROR(H87/RiskManagement!$B$7,0)</f>
        <v/>
      </c>
      <c r="J87" s="12" t="n"/>
      <c r="K87" s="12" t="n"/>
    </row>
    <row r="88">
      <c r="A88" s="20" t="n"/>
      <c r="B88" s="12" t="n"/>
      <c r="C88" s="18" t="n"/>
      <c r="D88" s="18" t="n"/>
      <c r="E88" s="18" t="n"/>
      <c r="F88" s="12" t="n"/>
      <c r="G88" s="19" t="n"/>
      <c r="H88" s="18" t="n"/>
      <c r="I88" s="12">
        <f>_xlfn.IFERROR(H88/RiskManagement!$B$7,0)</f>
        <v/>
      </c>
      <c r="J88" s="12" t="n"/>
      <c r="K88" s="12" t="n"/>
    </row>
    <row r="89">
      <c r="A89" s="20" t="n"/>
      <c r="B89" s="12" t="n"/>
      <c r="C89" s="18" t="n"/>
      <c r="D89" s="18" t="n"/>
      <c r="E89" s="18" t="n"/>
      <c r="F89" s="12" t="n"/>
      <c r="G89" s="19" t="n"/>
      <c r="H89" s="18" t="n"/>
      <c r="I89" s="12">
        <f>_xlfn.IFERROR(H89/RiskManagement!$B$7,0)</f>
        <v/>
      </c>
      <c r="J89" s="12" t="n"/>
      <c r="K89" s="12" t="n"/>
    </row>
    <row r="90">
      <c r="A90" s="20" t="n"/>
      <c r="B90" s="12" t="n"/>
      <c r="C90" s="18" t="n"/>
      <c r="D90" s="18" t="n"/>
      <c r="E90" s="18" t="n"/>
      <c r="F90" s="12" t="n"/>
      <c r="G90" s="19" t="n"/>
      <c r="H90" s="18" t="n"/>
      <c r="I90" s="12">
        <f>_xlfn.IFERROR(H90/RiskManagement!$B$7,0)</f>
        <v/>
      </c>
      <c r="J90" s="12" t="n"/>
      <c r="K90" s="12" t="n"/>
    </row>
    <row r="91">
      <c r="A91" s="20" t="n"/>
      <c r="B91" s="12" t="n"/>
      <c r="C91" s="18" t="n"/>
      <c r="D91" s="18" t="n"/>
      <c r="E91" s="18" t="n"/>
      <c r="F91" s="12" t="n"/>
      <c r="G91" s="19" t="n"/>
      <c r="H91" s="18" t="n"/>
      <c r="I91" s="12">
        <f>_xlfn.IFERROR(H91/RiskManagement!$B$7,0)</f>
        <v/>
      </c>
      <c r="J91" s="12" t="n"/>
      <c r="K91" s="12" t="n"/>
    </row>
    <row r="92">
      <c r="A92" s="20" t="n"/>
      <c r="B92" s="12" t="n"/>
      <c r="C92" s="18" t="n"/>
      <c r="D92" s="18" t="n"/>
      <c r="E92" s="18" t="n"/>
      <c r="F92" s="12" t="n"/>
      <c r="G92" s="19" t="n"/>
      <c r="H92" s="18" t="n"/>
      <c r="I92" s="12">
        <f>_xlfn.IFERROR(H92/RiskManagement!$B$7,0)</f>
        <v/>
      </c>
      <c r="J92" s="12" t="n"/>
      <c r="K92" s="12" t="n"/>
    </row>
    <row r="93">
      <c r="A93" s="20" t="n"/>
      <c r="B93" s="12" t="n"/>
      <c r="C93" s="18" t="n"/>
      <c r="D93" s="18" t="n"/>
      <c r="E93" s="18" t="n"/>
      <c r="F93" s="12" t="n"/>
      <c r="G93" s="19" t="n"/>
      <c r="H93" s="18" t="n"/>
      <c r="I93" s="12">
        <f>_xlfn.IFERROR(H93/RiskManagement!$B$7,0)</f>
        <v/>
      </c>
      <c r="J93" s="12" t="n"/>
      <c r="K93" s="12" t="n"/>
    </row>
    <row r="94">
      <c r="A94" s="20" t="n"/>
      <c r="B94" s="12" t="n"/>
      <c r="C94" s="18" t="n"/>
      <c r="D94" s="18" t="n"/>
      <c r="E94" s="18" t="n"/>
      <c r="F94" s="12" t="n"/>
      <c r="G94" s="19" t="n"/>
      <c r="H94" s="18" t="n"/>
      <c r="I94" s="12">
        <f>_xlfn.IFERROR(H94/RiskManagement!$B$7,0)</f>
        <v/>
      </c>
      <c r="J94" s="12" t="n"/>
      <c r="K94" s="12" t="n"/>
    </row>
    <row r="95">
      <c r="A95" s="20" t="n"/>
      <c r="B95" s="12" t="n"/>
      <c r="C95" s="18" t="n"/>
      <c r="D95" s="18" t="n"/>
      <c r="E95" s="18" t="n"/>
      <c r="F95" s="12" t="n"/>
      <c r="G95" s="19" t="n"/>
      <c r="H95" s="18" t="n"/>
      <c r="I95" s="12">
        <f>_xlfn.IFERROR(H95/RiskManagement!$B$7,0)</f>
        <v/>
      </c>
      <c r="J95" s="12" t="n"/>
      <c r="K95" s="12" t="n"/>
    </row>
    <row r="96">
      <c r="A96" s="20" t="n"/>
      <c r="B96" s="12" t="n"/>
      <c r="C96" s="18" t="n"/>
      <c r="D96" s="18" t="n"/>
      <c r="E96" s="18" t="n"/>
      <c r="F96" s="12" t="n"/>
      <c r="G96" s="19" t="n"/>
      <c r="H96" s="18" t="n"/>
      <c r="I96" s="12">
        <f>_xlfn.IFERROR(H96/RiskManagement!$B$7,0)</f>
        <v/>
      </c>
      <c r="J96" s="12" t="n"/>
      <c r="K96" s="12" t="n"/>
    </row>
    <row r="97">
      <c r="A97" s="20" t="n"/>
      <c r="B97" s="12" t="n"/>
      <c r="C97" s="18" t="n"/>
      <c r="D97" s="18" t="n"/>
      <c r="E97" s="18" t="n"/>
      <c r="F97" s="12" t="n"/>
      <c r="G97" s="19" t="n"/>
      <c r="H97" s="18" t="n"/>
      <c r="I97" s="12">
        <f>_xlfn.IFERROR(H97/RiskManagement!$B$7,0)</f>
        <v/>
      </c>
      <c r="J97" s="12" t="n"/>
      <c r="K97" s="12" t="n"/>
    </row>
    <row r="98">
      <c r="A98" s="20" t="n"/>
      <c r="B98" s="12" t="n"/>
      <c r="C98" s="18" t="n"/>
      <c r="D98" s="18" t="n"/>
      <c r="E98" s="18" t="n"/>
      <c r="F98" s="12" t="n"/>
      <c r="G98" s="19" t="n"/>
      <c r="H98" s="18" t="n"/>
      <c r="I98" s="12">
        <f>_xlfn.IFERROR(H98/RiskManagement!$B$7,0)</f>
        <v/>
      </c>
      <c r="J98" s="12" t="n"/>
      <c r="K98" s="12" t="n"/>
    </row>
    <row r="99">
      <c r="A99" s="20" t="n"/>
      <c r="B99" s="12" t="n"/>
      <c r="C99" s="18" t="n"/>
      <c r="D99" s="18" t="n"/>
      <c r="E99" s="18" t="n"/>
      <c r="F99" s="12" t="n"/>
      <c r="G99" s="19" t="n"/>
      <c r="H99" s="18" t="n"/>
      <c r="I99" s="12">
        <f>_xlfn.IFERROR(H99/RiskManagement!$B$7,0)</f>
        <v/>
      </c>
      <c r="J99" s="12" t="n"/>
      <c r="K99" s="12" t="n"/>
    </row>
    <row r="100">
      <c r="A100" s="20" t="n"/>
      <c r="B100" s="12" t="n"/>
      <c r="C100" s="18" t="n"/>
      <c r="D100" s="18" t="n"/>
      <c r="E100" s="18" t="n"/>
      <c r="F100" s="12" t="n"/>
      <c r="G100" s="19" t="n"/>
      <c r="H100" s="18" t="n"/>
      <c r="I100" s="12">
        <f>_xlfn.IFERROR(H100/RiskManagement!$B$7,0)</f>
        <v/>
      </c>
      <c r="J100" s="12" t="n"/>
      <c r="K100" s="12" t="n"/>
    </row>
    <row r="101">
      <c r="A101" s="20" t="n"/>
      <c r="B101" s="12" t="n"/>
      <c r="C101" s="18" t="n"/>
      <c r="D101" s="18" t="n"/>
      <c r="E101" s="18" t="n"/>
      <c r="F101" s="12" t="n"/>
      <c r="G101" s="19" t="n"/>
      <c r="H101" s="18" t="n"/>
      <c r="I101" s="12">
        <f>_xlfn.IFERROR(H101/RiskManagement!$B$7,0)</f>
        <v/>
      </c>
      <c r="J101" s="12" t="n"/>
      <c r="K101" s="12" t="n"/>
    </row>
    <row r="102">
      <c r="A102" s="20" t="n"/>
      <c r="B102" s="12" t="n"/>
      <c r="C102" s="18" t="n"/>
      <c r="D102" s="18" t="n"/>
      <c r="E102" s="18" t="n"/>
      <c r="F102" s="12" t="n"/>
      <c r="G102" s="19" t="n"/>
      <c r="H102" s="18" t="n"/>
      <c r="I102" s="12">
        <f>_xlfn.IFERROR(H102/RiskManagement!$B$7,0)</f>
        <v/>
      </c>
      <c r="J102" s="12" t="n"/>
      <c r="K102" s="12" t="n"/>
    </row>
    <row r="103">
      <c r="A103" s="20" t="n"/>
      <c r="B103" s="12" t="n"/>
      <c r="C103" s="18" t="n"/>
      <c r="D103" s="18" t="n"/>
      <c r="E103" s="18" t="n"/>
      <c r="F103" s="12" t="n"/>
      <c r="G103" s="19" t="n"/>
      <c r="H103" s="18" t="n"/>
      <c r="I103" s="12">
        <f>_xlfn.IFERROR(H103/RiskManagement!$B$7,0)</f>
        <v/>
      </c>
      <c r="J103" s="12" t="n"/>
      <c r="K103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.7109375" customWidth="1" min="1" max="1"/>
    <col width="18.7109375" customWidth="1" min="2" max="4"/>
  </cols>
  <sheetData>
    <row r="1">
      <c r="A1" s="8" t="inlineStr">
        <is>
          <t>Scenario Planner — Berapa Lama ke Rp 2 Miliar?</t>
        </is>
      </c>
    </row>
    <row r="3">
      <c r="A3" s="9" t="inlineStr">
        <is>
          <t>Skenario</t>
        </is>
      </c>
      <c r="B3" s="9" t="inlineStr">
        <is>
          <t>Growth Bulanan</t>
        </is>
      </c>
      <c r="C3" s="9" t="inlineStr">
        <is>
          <t>Bulan ke-</t>
        </is>
      </c>
      <c r="D3" s="9" t="inlineStr">
        <is>
          <t>Proyeksi Saldo</t>
        </is>
      </c>
    </row>
    <row r="4">
      <c r="A4" s="12" t="inlineStr">
        <is>
          <t>Konservatif</t>
        </is>
      </c>
      <c r="B4" s="19" t="n">
        <v>0.05</v>
      </c>
      <c r="C4" s="12">
        <f>ROUNDUP(LN(TARGET_BESAR/MODAL_AWAL)/LN(1+B4),0)</f>
        <v/>
      </c>
      <c r="D4" s="18">
        <f>MODAL_AWAL*(1+B4)^C4</f>
        <v/>
      </c>
    </row>
    <row r="5">
      <c r="A5" s="12" t="inlineStr">
        <is>
          <t>Moderate</t>
        </is>
      </c>
      <c r="B5" s="19" t="n">
        <v>0.1</v>
      </c>
      <c r="C5" s="12">
        <f>ROUNDUP(LN(TARGET_BESAR/MODAL_AWAL)/LN(1+B5),0)</f>
        <v/>
      </c>
      <c r="D5" s="18">
        <f>MODAL_AWAL*(1+B5)^C5</f>
        <v/>
      </c>
    </row>
    <row r="6">
      <c r="A6" s="12" t="inlineStr">
        <is>
          <t>Agresif</t>
        </is>
      </c>
      <c r="B6" s="19" t="n">
        <v>0.15</v>
      </c>
      <c r="C6" s="12">
        <f>ROUNDUP(LN(TARGET_BESAR/MODAL_AWAL)/LN(1+B6),0)</f>
        <v/>
      </c>
      <c r="D6" s="18">
        <f>MODAL_AWAL*(1+B6)^C6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.7109375" customWidth="1" min="1" max="1"/>
    <col width="24.7109375" customWidth="1" min="2" max="2"/>
  </cols>
  <sheetData>
    <row r="1">
      <c r="A1" s="8" t="inlineStr">
        <is>
          <t>Warning System (Anti Margin Call)</t>
        </is>
      </c>
    </row>
    <row r="3">
      <c r="A3" s="9" t="inlineStr">
        <is>
          <t>Risk per Trade melebihi 2%?</t>
        </is>
      </c>
      <c r="B3" s="12">
        <f>IF(MAX_RISK&gt;0.02,"YA","AMAN")</f>
        <v/>
      </c>
    </row>
    <row r="4">
      <c r="A4" s="9" t="inlineStr">
        <is>
          <t>Loss beruntun (isi manual)</t>
        </is>
      </c>
      <c r="B4" s="12" t="n">
        <v>0</v>
      </c>
    </row>
    <row r="5">
      <c r="A5" s="9" t="inlineStr">
        <is>
          <t>Batas Loss Beruntun (disarankan 5)</t>
        </is>
      </c>
      <c r="B5" s="12" t="n">
        <v>5</v>
      </c>
    </row>
    <row r="7">
      <c r="A7" s="9" t="inlineStr">
        <is>
          <t>Status</t>
        </is>
      </c>
      <c r="B7" s="12">
        <f>IF(OR(B3="YA",B4&gt;=B5),"PERINGATAN: Stop trading &amp; evaluasi dulu","OK: Lanjut sesuai plan")</f>
        <v/>
      </c>
    </row>
    <row r="9">
      <c r="A9" s="4" t="inlineStr">
        <is>
          <t>Tips:</t>
        </is>
      </c>
    </row>
    <row r="10">
      <c r="A10" s="3" t="inlineStr">
        <is>
          <t>• Jaga risk per trade ≤ 2%.
• Jika kena 5x loss beruntun, berhenti sementara &amp; evaluasi.
• Hindari overtrade dan revenge trade.
• Ikuti plan dan disiplin.</t>
        </is>
      </c>
    </row>
    <row r="11"/>
    <row r="12"/>
    <row r="13"/>
    <row r="14"/>
  </sheetData>
  <mergeCells count="1">
    <mergeCell ref="A10:B14"/>
  </mergeCells>
  <conditionalFormatting sqref="B7">
    <cfRule type="containsText" priority="1" operator="containsText" dxfId="0" text="PERINGATAN">
      <formula>NOT(ISERROR(SEARCH("PERINGATAN",B7)))</formula>
    </cfRule>
    <cfRule type="containsText" priority="2" operator="containsText" dxfId="1" text="OK:">
      <formula>NOT(ISERROR(SEARCH("OK:",B7)))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.7109375" customWidth="1" min="1" max="1"/>
  </cols>
  <sheetData>
    <row r="1">
      <c r="A1" s="8" t="inlineStr">
        <is>
          <t>Daily Affirmation — Mindset Trader Sakti</t>
        </is>
      </c>
    </row>
    <row r="3">
      <c r="A3" s="2" t="inlineStr">
        <is>
          <t>Checklist Harian:</t>
        </is>
      </c>
    </row>
    <row r="5">
      <c r="A5" s="12" t="inlineStr">
        <is>
          <t>☐ Saya disiplin mengikuti trading plan.</t>
        </is>
      </c>
    </row>
    <row r="6">
      <c r="A6" s="12" t="inlineStr">
        <is>
          <t>☐ Saya menerima loss kecil untuk menghindari loss besar.</t>
        </is>
      </c>
    </row>
    <row r="7">
      <c r="A7" s="12" t="inlineStr">
        <is>
          <t>☐ Saya tidak balas dendam pada market.</t>
        </is>
      </c>
    </row>
    <row r="8">
      <c r="A8" s="12" t="inlineStr">
        <is>
          <t>☐ Saya trading hanya saat setup A+ sesuai strategi.</t>
        </is>
      </c>
    </row>
    <row r="9">
      <c r="A9" s="12" t="inlineStr">
        <is>
          <t>☐ Profit besar adalah hasil konsistensi jangka panjang.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42.7109375" customWidth="1" min="1" max="1"/>
    <col width="24.7109375" customWidth="1" min="2" max="4"/>
  </cols>
  <sheetData>
    <row r="1">
      <c r="A1" s="1" t="inlineStr">
        <is>
          <t>DASHBOARD — Money Management Sakti (Rp2 Miliar Roadmap)</t>
        </is>
      </c>
    </row>
    <row r="3">
      <c r="A3" s="9" t="inlineStr">
        <is>
          <t>Modal Awal</t>
        </is>
      </c>
      <c r="B3" s="18">
        <f>MODAL_AWAL</f>
        <v/>
      </c>
      <c r="D3" s="12">
        <f>MonthlyRoadmap!A4</f>
        <v/>
      </c>
      <c r="E3" s="18">
        <f>MonthlyRoadmap!D4</f>
        <v/>
      </c>
    </row>
    <row r="4">
      <c r="A4" s="9" t="inlineStr">
        <is>
          <t>Target Bulanan (Growth)</t>
        </is>
      </c>
      <c r="B4" s="19">
        <f>TARGET_GROWTH_BULAN</f>
        <v/>
      </c>
      <c r="D4" s="12">
        <f>MonthlyRoadmap!A5</f>
        <v/>
      </c>
      <c r="E4" s="18">
        <f>MonthlyRoadmap!D5</f>
        <v/>
      </c>
    </row>
    <row r="5">
      <c r="A5" s="9" t="inlineStr">
        <is>
          <t>Target Besar</t>
        </is>
      </c>
      <c r="B5" s="18">
        <f>TARGET_BESAR</f>
        <v/>
      </c>
      <c r="D5" s="12">
        <f>MonthlyRoadmap!A6</f>
        <v/>
      </c>
      <c r="E5" s="18">
        <f>MonthlyRoadmap!D6</f>
        <v/>
      </c>
    </row>
    <row r="6">
      <c r="D6" s="12">
        <f>MonthlyRoadmap!A7</f>
        <v/>
      </c>
      <c r="E6" s="18">
        <f>MonthlyRoadmap!D7</f>
        <v/>
      </c>
    </row>
    <row r="7">
      <c r="A7" s="9" t="inlineStr">
        <is>
          <t>Perkiraan Bulan Mencapai Target (berdasarkan roadmap)</t>
        </is>
      </c>
      <c r="B7" s="12">
        <f>MonthlyRoadmap!H3</f>
        <v/>
      </c>
      <c r="D7" s="12">
        <f>MonthlyRoadmap!A8</f>
        <v/>
      </c>
      <c r="E7" s="18">
        <f>MonthlyRoadmap!D8</f>
        <v/>
      </c>
    </row>
    <row r="8">
      <c r="D8" s="12">
        <f>MonthlyRoadmap!A9</f>
        <v/>
      </c>
      <c r="E8" s="18">
        <f>MonthlyRoadmap!D9</f>
        <v/>
      </c>
    </row>
    <row r="9">
      <c r="A9" s="9" t="inlineStr">
        <is>
          <t>Progress % ke Target (berdasarkan saldo roadmap bulan terakhir)</t>
        </is>
      </c>
      <c r="B9" s="19">
        <f>MonthlyRoadmap!D123/TARGET_BESAR</f>
        <v/>
      </c>
      <c r="D9" s="12">
        <f>MonthlyRoadmap!A10</f>
        <v/>
      </c>
      <c r="E9" s="18">
        <f>MonthlyRoadmap!D10</f>
        <v/>
      </c>
    </row>
    <row r="10">
      <c r="D10" s="12">
        <f>MonthlyRoadmap!A11</f>
        <v/>
      </c>
      <c r="E10" s="18">
        <f>MonthlyRoadmap!D11</f>
        <v/>
      </c>
    </row>
    <row r="11">
      <c r="A11" s="2" t="inlineStr">
        <is>
          <t>Grafik Pertumbuhan Modal (hingga 120 bulan)</t>
        </is>
      </c>
      <c r="D11" s="12">
        <f>MonthlyRoadmap!A12</f>
        <v/>
      </c>
      <c r="E11" s="18">
        <f>MonthlyRoadmap!D12</f>
        <v/>
      </c>
    </row>
    <row r="12">
      <c r="D12" s="12">
        <f>MonthlyRoadmap!A13</f>
        <v/>
      </c>
      <c r="E12" s="18">
        <f>MonthlyRoadmap!D13</f>
        <v/>
      </c>
    </row>
    <row r="13">
      <c r="D13" s="12">
        <f>MonthlyRoadmap!A14</f>
        <v/>
      </c>
      <c r="E13" s="18">
        <f>MonthlyRoadmap!D14</f>
        <v/>
      </c>
    </row>
    <row r="14">
      <c r="D14" s="12">
        <f>MonthlyRoadmap!A15</f>
        <v/>
      </c>
      <c r="E14" s="18">
        <f>MonthlyRoadmap!D15</f>
        <v/>
      </c>
    </row>
    <row r="15">
      <c r="D15" s="12">
        <f>MonthlyRoadmap!A16</f>
        <v/>
      </c>
      <c r="E15" s="18">
        <f>MonthlyRoadmap!D16</f>
        <v/>
      </c>
    </row>
    <row r="16">
      <c r="D16" s="12">
        <f>MonthlyRoadmap!A17</f>
        <v/>
      </c>
      <c r="E16" s="18">
        <f>MonthlyRoadmap!D17</f>
        <v/>
      </c>
    </row>
    <row r="17">
      <c r="D17" s="12">
        <f>MonthlyRoadmap!A18</f>
        <v/>
      </c>
      <c r="E17" s="18">
        <f>MonthlyRoadmap!D18</f>
        <v/>
      </c>
    </row>
    <row r="18">
      <c r="D18" s="12">
        <f>MonthlyRoadmap!A19</f>
        <v/>
      </c>
      <c r="E18" s="18">
        <f>MonthlyRoadmap!D19</f>
        <v/>
      </c>
    </row>
    <row r="19">
      <c r="D19" s="12">
        <f>MonthlyRoadmap!A20</f>
        <v/>
      </c>
      <c r="E19" s="18">
        <f>MonthlyRoadmap!D20</f>
        <v/>
      </c>
    </row>
    <row r="20">
      <c r="D20" s="12">
        <f>MonthlyRoadmap!A21</f>
        <v/>
      </c>
      <c r="E20" s="18">
        <f>MonthlyRoadmap!D21</f>
        <v/>
      </c>
    </row>
    <row r="21">
      <c r="D21" s="12">
        <f>MonthlyRoadmap!A22</f>
        <v/>
      </c>
      <c r="E21" s="18">
        <f>MonthlyRoadmap!D22</f>
        <v/>
      </c>
    </row>
    <row r="22">
      <c r="D22" s="12">
        <f>MonthlyRoadmap!A23</f>
        <v/>
      </c>
      <c r="E22" s="18">
        <f>MonthlyRoadmap!D23</f>
        <v/>
      </c>
    </row>
    <row r="23">
      <c r="D23" s="12">
        <f>MonthlyRoadmap!A24</f>
        <v/>
      </c>
      <c r="E23" s="18">
        <f>MonthlyRoadmap!D24</f>
        <v/>
      </c>
    </row>
    <row r="24">
      <c r="D24" s="12">
        <f>MonthlyRoadmap!A25</f>
        <v/>
      </c>
      <c r="E24" s="18">
        <f>MonthlyRoadmap!D25</f>
        <v/>
      </c>
    </row>
    <row r="25">
      <c r="D25" s="12">
        <f>MonthlyRoadmap!A26</f>
        <v/>
      </c>
      <c r="E25" s="18">
        <f>MonthlyRoadmap!D26</f>
        <v/>
      </c>
    </row>
    <row r="26">
      <c r="D26" s="12">
        <f>MonthlyRoadmap!A27</f>
        <v/>
      </c>
      <c r="E26" s="18">
        <f>MonthlyRoadmap!D27</f>
        <v/>
      </c>
    </row>
    <row r="27">
      <c r="D27" s="12">
        <f>MonthlyRoadmap!A28</f>
        <v/>
      </c>
      <c r="E27" s="18">
        <f>MonthlyRoadmap!D28</f>
        <v/>
      </c>
    </row>
    <row r="28">
      <c r="D28" s="12">
        <f>MonthlyRoadmap!A29</f>
        <v/>
      </c>
      <c r="E28" s="18">
        <f>MonthlyRoadmap!D29</f>
        <v/>
      </c>
    </row>
    <row r="29">
      <c r="D29" s="12">
        <f>MonthlyRoadmap!A30</f>
        <v/>
      </c>
      <c r="E29" s="18">
        <f>MonthlyRoadmap!D30</f>
        <v/>
      </c>
    </row>
    <row r="30">
      <c r="D30" s="12">
        <f>MonthlyRoadmap!A31</f>
        <v/>
      </c>
      <c r="E30" s="18">
        <f>MonthlyRoadmap!D31</f>
        <v/>
      </c>
    </row>
    <row r="31">
      <c r="A31" s="2" t="inlineStr">
        <is>
          <t>Cara Pakai Singkat:</t>
        </is>
      </c>
      <c r="D31" s="12">
        <f>MonthlyRoadmap!A32</f>
        <v/>
      </c>
      <c r="E31" s="18">
        <f>MonthlyRoadmap!D32</f>
        <v/>
      </c>
    </row>
    <row r="32">
      <c r="A32" s="14" t="inlineStr">
        <is>
          <t>1) Buka sheet Inputs, isi modal, growth bulanan, risk, dll.
2) Cek Dashboard untuk melihat progress &amp; perkiraan bulan capai target.
3) Catat semua transaksi di TradeJournal.
4) Gunakan RiskManagement untuk hitung lot, SL, TP.
5) Pantau Warnings saat risk kebablasan.</t>
        </is>
      </c>
      <c r="D32" s="12">
        <f>MonthlyRoadmap!A33</f>
        <v/>
      </c>
      <c r="E32" s="18">
        <f>MonthlyRoadmap!D33</f>
        <v/>
      </c>
    </row>
    <row r="33">
      <c r="D33" s="12">
        <f>MonthlyRoadmap!A34</f>
        <v/>
      </c>
      <c r="E33" s="18">
        <f>MonthlyRoadmap!D34</f>
        <v/>
      </c>
    </row>
    <row r="34">
      <c r="D34" s="12">
        <f>MonthlyRoadmap!A35</f>
        <v/>
      </c>
      <c r="E34" s="18">
        <f>MonthlyRoadmap!D35</f>
        <v/>
      </c>
    </row>
    <row r="35">
      <c r="D35" s="12">
        <f>MonthlyRoadmap!A36</f>
        <v/>
      </c>
      <c r="E35" s="18">
        <f>MonthlyRoadmap!D36</f>
        <v/>
      </c>
    </row>
    <row r="36">
      <c r="A36" s="15" t="inlineStr">
        <is>
          <t>Template dibuat: 2025-09-19 03:37:27</t>
        </is>
      </c>
      <c r="D36" s="12">
        <f>MonthlyRoadmap!A37</f>
        <v/>
      </c>
      <c r="E36" s="18">
        <f>MonthlyRoadmap!D37</f>
        <v/>
      </c>
    </row>
    <row r="37">
      <c r="D37" s="12">
        <f>MonthlyRoadmap!A38</f>
        <v/>
      </c>
      <c r="E37" s="18">
        <f>MonthlyRoadmap!D38</f>
        <v/>
      </c>
    </row>
    <row r="38">
      <c r="D38" s="12">
        <f>MonthlyRoadmap!A39</f>
        <v/>
      </c>
      <c r="E38" s="18">
        <f>MonthlyRoadmap!D39</f>
        <v/>
      </c>
    </row>
    <row r="39">
      <c r="D39" s="12">
        <f>MonthlyRoadmap!A40</f>
        <v/>
      </c>
      <c r="E39" s="18">
        <f>MonthlyRoadmap!D40</f>
        <v/>
      </c>
    </row>
    <row r="40">
      <c r="D40" s="12">
        <f>MonthlyRoadmap!A41</f>
        <v/>
      </c>
      <c r="E40" s="18">
        <f>MonthlyRoadmap!D41</f>
        <v/>
      </c>
    </row>
    <row r="41">
      <c r="D41" s="12">
        <f>MonthlyRoadmap!A42</f>
        <v/>
      </c>
      <c r="E41" s="18">
        <f>MonthlyRoadmap!D42</f>
        <v/>
      </c>
    </row>
    <row r="42">
      <c r="D42" s="12">
        <f>MonthlyRoadmap!A43</f>
        <v/>
      </c>
      <c r="E42" s="18">
        <f>MonthlyRoadmap!D43</f>
        <v/>
      </c>
    </row>
    <row r="43">
      <c r="D43" s="12">
        <f>MonthlyRoadmap!A44</f>
        <v/>
      </c>
      <c r="E43" s="18">
        <f>MonthlyRoadmap!D44</f>
        <v/>
      </c>
    </row>
    <row r="44">
      <c r="D44" s="12">
        <f>MonthlyRoadmap!A45</f>
        <v/>
      </c>
      <c r="E44" s="18">
        <f>MonthlyRoadmap!D45</f>
        <v/>
      </c>
    </row>
    <row r="45">
      <c r="D45" s="12">
        <f>MonthlyRoadmap!A46</f>
        <v/>
      </c>
      <c r="E45" s="18">
        <f>MonthlyRoadmap!D46</f>
        <v/>
      </c>
    </row>
    <row r="46">
      <c r="D46" s="12">
        <f>MonthlyRoadmap!A47</f>
        <v/>
      </c>
      <c r="E46" s="18">
        <f>MonthlyRoadmap!D47</f>
        <v/>
      </c>
    </row>
    <row r="47">
      <c r="D47" s="12">
        <f>MonthlyRoadmap!A48</f>
        <v/>
      </c>
      <c r="E47" s="18">
        <f>MonthlyRoadmap!D48</f>
        <v/>
      </c>
    </row>
    <row r="48">
      <c r="D48" s="12">
        <f>MonthlyRoadmap!A49</f>
        <v/>
      </c>
      <c r="E48" s="18">
        <f>MonthlyRoadmap!D49</f>
        <v/>
      </c>
    </row>
    <row r="49">
      <c r="D49" s="12">
        <f>MonthlyRoadmap!A50</f>
        <v/>
      </c>
      <c r="E49" s="18">
        <f>MonthlyRoadmap!D50</f>
        <v/>
      </c>
    </row>
    <row r="50">
      <c r="D50" s="12">
        <f>MonthlyRoadmap!A51</f>
        <v/>
      </c>
      <c r="E50" s="18">
        <f>MonthlyRoadmap!D51</f>
        <v/>
      </c>
    </row>
    <row r="51">
      <c r="D51" s="12">
        <f>MonthlyRoadmap!A52</f>
        <v/>
      </c>
      <c r="E51" s="18">
        <f>MonthlyRoadmap!D52</f>
        <v/>
      </c>
    </row>
    <row r="52">
      <c r="D52" s="12">
        <f>MonthlyRoadmap!A53</f>
        <v/>
      </c>
      <c r="E52" s="18">
        <f>MonthlyRoadmap!D53</f>
        <v/>
      </c>
    </row>
    <row r="53">
      <c r="D53" s="12">
        <f>MonthlyRoadmap!A54</f>
        <v/>
      </c>
      <c r="E53" s="18">
        <f>MonthlyRoadmap!D54</f>
        <v/>
      </c>
    </row>
    <row r="54">
      <c r="D54" s="12">
        <f>MonthlyRoadmap!A55</f>
        <v/>
      </c>
      <c r="E54" s="18">
        <f>MonthlyRoadmap!D55</f>
        <v/>
      </c>
    </row>
    <row r="55">
      <c r="D55" s="12">
        <f>MonthlyRoadmap!A56</f>
        <v/>
      </c>
      <c r="E55" s="18">
        <f>MonthlyRoadmap!D56</f>
        <v/>
      </c>
    </row>
    <row r="56">
      <c r="D56" s="12">
        <f>MonthlyRoadmap!A57</f>
        <v/>
      </c>
      <c r="E56" s="18">
        <f>MonthlyRoadmap!D57</f>
        <v/>
      </c>
    </row>
    <row r="57">
      <c r="D57" s="12">
        <f>MonthlyRoadmap!A58</f>
        <v/>
      </c>
      <c r="E57" s="18">
        <f>MonthlyRoadmap!D58</f>
        <v/>
      </c>
    </row>
    <row r="58">
      <c r="D58" s="12">
        <f>MonthlyRoadmap!A59</f>
        <v/>
      </c>
      <c r="E58" s="18">
        <f>MonthlyRoadmap!D59</f>
        <v/>
      </c>
    </row>
    <row r="59">
      <c r="D59" s="12">
        <f>MonthlyRoadmap!A60</f>
        <v/>
      </c>
      <c r="E59" s="18">
        <f>MonthlyRoadmap!D60</f>
        <v/>
      </c>
    </row>
    <row r="60">
      <c r="D60" s="12">
        <f>MonthlyRoadmap!A61</f>
        <v/>
      </c>
      <c r="E60" s="18">
        <f>MonthlyRoadmap!D61</f>
        <v/>
      </c>
    </row>
    <row r="61">
      <c r="D61" s="12">
        <f>MonthlyRoadmap!A62</f>
        <v/>
      </c>
      <c r="E61" s="18">
        <f>MonthlyRoadmap!D62</f>
        <v/>
      </c>
    </row>
    <row r="62">
      <c r="D62" s="12">
        <f>MonthlyRoadmap!A63</f>
        <v/>
      </c>
      <c r="E62" s="18">
        <f>MonthlyRoadmap!D63</f>
        <v/>
      </c>
    </row>
    <row r="63">
      <c r="D63" s="12">
        <f>MonthlyRoadmap!A64</f>
        <v/>
      </c>
      <c r="E63" s="18">
        <f>MonthlyRoadmap!D64</f>
        <v/>
      </c>
    </row>
    <row r="64">
      <c r="D64" s="12">
        <f>MonthlyRoadmap!A65</f>
        <v/>
      </c>
      <c r="E64" s="18">
        <f>MonthlyRoadmap!D65</f>
        <v/>
      </c>
    </row>
    <row r="65">
      <c r="D65" s="12">
        <f>MonthlyRoadmap!A66</f>
        <v/>
      </c>
      <c r="E65" s="18">
        <f>MonthlyRoadmap!D66</f>
        <v/>
      </c>
    </row>
    <row r="66">
      <c r="D66" s="12">
        <f>MonthlyRoadmap!A67</f>
        <v/>
      </c>
      <c r="E66" s="18">
        <f>MonthlyRoadmap!D67</f>
        <v/>
      </c>
    </row>
    <row r="67">
      <c r="D67" s="12">
        <f>MonthlyRoadmap!A68</f>
        <v/>
      </c>
      <c r="E67" s="18">
        <f>MonthlyRoadmap!D68</f>
        <v/>
      </c>
    </row>
    <row r="68">
      <c r="D68" s="12">
        <f>MonthlyRoadmap!A69</f>
        <v/>
      </c>
      <c r="E68" s="18">
        <f>MonthlyRoadmap!D69</f>
        <v/>
      </c>
    </row>
    <row r="69">
      <c r="D69" s="12">
        <f>MonthlyRoadmap!A70</f>
        <v/>
      </c>
      <c r="E69" s="18">
        <f>MonthlyRoadmap!D70</f>
        <v/>
      </c>
    </row>
    <row r="70">
      <c r="D70" s="12">
        <f>MonthlyRoadmap!A71</f>
        <v/>
      </c>
      <c r="E70" s="18">
        <f>MonthlyRoadmap!D71</f>
        <v/>
      </c>
    </row>
    <row r="71">
      <c r="D71" s="12">
        <f>MonthlyRoadmap!A72</f>
        <v/>
      </c>
      <c r="E71" s="18">
        <f>MonthlyRoadmap!D72</f>
        <v/>
      </c>
    </row>
    <row r="72">
      <c r="D72" s="12">
        <f>MonthlyRoadmap!A73</f>
        <v/>
      </c>
      <c r="E72" s="18">
        <f>MonthlyRoadmap!D73</f>
        <v/>
      </c>
    </row>
    <row r="73">
      <c r="D73" s="12">
        <f>MonthlyRoadmap!A74</f>
        <v/>
      </c>
      <c r="E73" s="18">
        <f>MonthlyRoadmap!D74</f>
        <v/>
      </c>
    </row>
    <row r="74">
      <c r="D74" s="12">
        <f>MonthlyRoadmap!A75</f>
        <v/>
      </c>
      <c r="E74" s="18">
        <f>MonthlyRoadmap!D75</f>
        <v/>
      </c>
    </row>
    <row r="75">
      <c r="D75" s="12">
        <f>MonthlyRoadmap!A76</f>
        <v/>
      </c>
      <c r="E75" s="18">
        <f>MonthlyRoadmap!D76</f>
        <v/>
      </c>
    </row>
    <row r="76">
      <c r="D76" s="12">
        <f>MonthlyRoadmap!A77</f>
        <v/>
      </c>
      <c r="E76" s="18">
        <f>MonthlyRoadmap!D77</f>
        <v/>
      </c>
    </row>
    <row r="77">
      <c r="D77" s="12">
        <f>MonthlyRoadmap!A78</f>
        <v/>
      </c>
      <c r="E77" s="18">
        <f>MonthlyRoadmap!D78</f>
        <v/>
      </c>
    </row>
    <row r="78">
      <c r="D78" s="12">
        <f>MonthlyRoadmap!A79</f>
        <v/>
      </c>
      <c r="E78" s="18">
        <f>MonthlyRoadmap!D79</f>
        <v/>
      </c>
    </row>
    <row r="79">
      <c r="D79" s="12">
        <f>MonthlyRoadmap!A80</f>
        <v/>
      </c>
      <c r="E79" s="18">
        <f>MonthlyRoadmap!D80</f>
        <v/>
      </c>
    </row>
    <row r="80">
      <c r="D80" s="12">
        <f>MonthlyRoadmap!A81</f>
        <v/>
      </c>
      <c r="E80" s="18">
        <f>MonthlyRoadmap!D81</f>
        <v/>
      </c>
    </row>
    <row r="81">
      <c r="D81" s="12">
        <f>MonthlyRoadmap!A82</f>
        <v/>
      </c>
      <c r="E81" s="18">
        <f>MonthlyRoadmap!D82</f>
        <v/>
      </c>
    </row>
    <row r="82">
      <c r="D82" s="12">
        <f>MonthlyRoadmap!A83</f>
        <v/>
      </c>
      <c r="E82" s="18">
        <f>MonthlyRoadmap!D83</f>
        <v/>
      </c>
    </row>
    <row r="83">
      <c r="D83" s="12">
        <f>MonthlyRoadmap!A84</f>
        <v/>
      </c>
      <c r="E83" s="18">
        <f>MonthlyRoadmap!D84</f>
        <v/>
      </c>
    </row>
    <row r="84">
      <c r="D84" s="12">
        <f>MonthlyRoadmap!A85</f>
        <v/>
      </c>
      <c r="E84" s="18">
        <f>MonthlyRoadmap!D85</f>
        <v/>
      </c>
    </row>
    <row r="85">
      <c r="D85" s="12">
        <f>MonthlyRoadmap!A86</f>
        <v/>
      </c>
      <c r="E85" s="18">
        <f>MonthlyRoadmap!D86</f>
        <v/>
      </c>
    </row>
    <row r="86">
      <c r="D86" s="12">
        <f>MonthlyRoadmap!A87</f>
        <v/>
      </c>
      <c r="E86" s="18">
        <f>MonthlyRoadmap!D87</f>
        <v/>
      </c>
    </row>
    <row r="87">
      <c r="D87" s="12">
        <f>MonthlyRoadmap!A88</f>
        <v/>
      </c>
      <c r="E87" s="18">
        <f>MonthlyRoadmap!D88</f>
        <v/>
      </c>
    </row>
    <row r="88">
      <c r="D88" s="12">
        <f>MonthlyRoadmap!A89</f>
        <v/>
      </c>
      <c r="E88" s="18">
        <f>MonthlyRoadmap!D89</f>
        <v/>
      </c>
    </row>
    <row r="89">
      <c r="D89" s="12">
        <f>MonthlyRoadmap!A90</f>
        <v/>
      </c>
      <c r="E89" s="18">
        <f>MonthlyRoadmap!D90</f>
        <v/>
      </c>
    </row>
    <row r="90">
      <c r="D90" s="12">
        <f>MonthlyRoadmap!A91</f>
        <v/>
      </c>
      <c r="E90" s="18">
        <f>MonthlyRoadmap!D91</f>
        <v/>
      </c>
    </row>
    <row r="91">
      <c r="D91" s="12">
        <f>MonthlyRoadmap!A92</f>
        <v/>
      </c>
      <c r="E91" s="18">
        <f>MonthlyRoadmap!D92</f>
        <v/>
      </c>
    </row>
    <row r="92">
      <c r="D92" s="12">
        <f>MonthlyRoadmap!A93</f>
        <v/>
      </c>
      <c r="E92" s="18">
        <f>MonthlyRoadmap!D93</f>
        <v/>
      </c>
    </row>
    <row r="93">
      <c r="D93" s="12">
        <f>MonthlyRoadmap!A94</f>
        <v/>
      </c>
      <c r="E93" s="18">
        <f>MonthlyRoadmap!D94</f>
        <v/>
      </c>
    </row>
    <row r="94">
      <c r="D94" s="12">
        <f>MonthlyRoadmap!A95</f>
        <v/>
      </c>
      <c r="E94" s="18">
        <f>MonthlyRoadmap!D95</f>
        <v/>
      </c>
    </row>
    <row r="95">
      <c r="D95" s="12">
        <f>MonthlyRoadmap!A96</f>
        <v/>
      </c>
      <c r="E95" s="18">
        <f>MonthlyRoadmap!D96</f>
        <v/>
      </c>
    </row>
    <row r="96">
      <c r="D96" s="12">
        <f>MonthlyRoadmap!A97</f>
        <v/>
      </c>
      <c r="E96" s="18">
        <f>MonthlyRoadmap!D97</f>
        <v/>
      </c>
    </row>
    <row r="97">
      <c r="D97" s="12">
        <f>MonthlyRoadmap!A98</f>
        <v/>
      </c>
      <c r="E97" s="18">
        <f>MonthlyRoadmap!D98</f>
        <v/>
      </c>
    </row>
    <row r="98">
      <c r="D98" s="12">
        <f>MonthlyRoadmap!A99</f>
        <v/>
      </c>
      <c r="E98" s="18">
        <f>MonthlyRoadmap!D99</f>
        <v/>
      </c>
    </row>
    <row r="99">
      <c r="D99" s="12">
        <f>MonthlyRoadmap!A100</f>
        <v/>
      </c>
      <c r="E99" s="18">
        <f>MonthlyRoadmap!D100</f>
        <v/>
      </c>
    </row>
    <row r="100">
      <c r="D100" s="12">
        <f>MonthlyRoadmap!A101</f>
        <v/>
      </c>
      <c r="E100" s="18">
        <f>MonthlyRoadmap!D101</f>
        <v/>
      </c>
    </row>
    <row r="101">
      <c r="D101" s="12">
        <f>MonthlyRoadmap!A102</f>
        <v/>
      </c>
      <c r="E101" s="18">
        <f>MonthlyRoadmap!D102</f>
        <v/>
      </c>
    </row>
    <row r="102">
      <c r="D102" s="12">
        <f>MonthlyRoadmap!A103</f>
        <v/>
      </c>
      <c r="E102" s="18">
        <f>MonthlyRoadmap!D103</f>
        <v/>
      </c>
    </row>
    <row r="103">
      <c r="D103" s="12">
        <f>MonthlyRoadmap!A104</f>
        <v/>
      </c>
      <c r="E103" s="18">
        <f>MonthlyRoadmap!D104</f>
        <v/>
      </c>
    </row>
    <row r="104">
      <c r="D104" s="12">
        <f>MonthlyRoadmap!A105</f>
        <v/>
      </c>
      <c r="E104" s="18">
        <f>MonthlyRoadmap!D105</f>
        <v/>
      </c>
    </row>
    <row r="105">
      <c r="D105" s="12">
        <f>MonthlyRoadmap!A106</f>
        <v/>
      </c>
      <c r="E105" s="18">
        <f>MonthlyRoadmap!D106</f>
        <v/>
      </c>
    </row>
    <row r="106">
      <c r="D106" s="12">
        <f>MonthlyRoadmap!A107</f>
        <v/>
      </c>
      <c r="E106" s="18">
        <f>MonthlyRoadmap!D107</f>
        <v/>
      </c>
    </row>
    <row r="107">
      <c r="D107" s="12">
        <f>MonthlyRoadmap!A108</f>
        <v/>
      </c>
      <c r="E107" s="18">
        <f>MonthlyRoadmap!D108</f>
        <v/>
      </c>
    </row>
    <row r="108">
      <c r="D108" s="12">
        <f>MonthlyRoadmap!A109</f>
        <v/>
      </c>
      <c r="E108" s="18">
        <f>MonthlyRoadmap!D109</f>
        <v/>
      </c>
    </row>
    <row r="109">
      <c r="D109" s="12">
        <f>MonthlyRoadmap!A110</f>
        <v/>
      </c>
      <c r="E109" s="18">
        <f>MonthlyRoadmap!D110</f>
        <v/>
      </c>
    </row>
    <row r="110">
      <c r="D110" s="12">
        <f>MonthlyRoadmap!A111</f>
        <v/>
      </c>
      <c r="E110" s="18">
        <f>MonthlyRoadmap!D111</f>
        <v/>
      </c>
    </row>
    <row r="111">
      <c r="D111" s="12">
        <f>MonthlyRoadmap!A112</f>
        <v/>
      </c>
      <c r="E111" s="18">
        <f>MonthlyRoadmap!D112</f>
        <v/>
      </c>
    </row>
    <row r="112">
      <c r="D112" s="12">
        <f>MonthlyRoadmap!A113</f>
        <v/>
      </c>
      <c r="E112" s="18">
        <f>MonthlyRoadmap!D113</f>
        <v/>
      </c>
    </row>
    <row r="113">
      <c r="D113" s="12">
        <f>MonthlyRoadmap!A114</f>
        <v/>
      </c>
      <c r="E113" s="18">
        <f>MonthlyRoadmap!D114</f>
        <v/>
      </c>
    </row>
    <row r="114">
      <c r="D114" s="12">
        <f>MonthlyRoadmap!A115</f>
        <v/>
      </c>
      <c r="E114" s="18">
        <f>MonthlyRoadmap!D115</f>
        <v/>
      </c>
    </row>
    <row r="115">
      <c r="D115" s="12">
        <f>MonthlyRoadmap!A116</f>
        <v/>
      </c>
      <c r="E115" s="18">
        <f>MonthlyRoadmap!D116</f>
        <v/>
      </c>
    </row>
    <row r="116">
      <c r="D116" s="12">
        <f>MonthlyRoadmap!A117</f>
        <v/>
      </c>
      <c r="E116" s="18">
        <f>MonthlyRoadmap!D117</f>
        <v/>
      </c>
    </row>
    <row r="117">
      <c r="D117" s="12">
        <f>MonthlyRoadmap!A118</f>
        <v/>
      </c>
      <c r="E117" s="18">
        <f>MonthlyRoadmap!D118</f>
        <v/>
      </c>
    </row>
    <row r="118">
      <c r="D118" s="12">
        <f>MonthlyRoadmap!A119</f>
        <v/>
      </c>
      <c r="E118" s="18">
        <f>MonthlyRoadmap!D119</f>
        <v/>
      </c>
    </row>
    <row r="119">
      <c r="D119" s="12">
        <f>MonthlyRoadmap!A120</f>
        <v/>
      </c>
      <c r="E119" s="18">
        <f>MonthlyRoadmap!D120</f>
        <v/>
      </c>
    </row>
    <row r="120">
      <c r="D120" s="12">
        <f>MonthlyRoadmap!A121</f>
        <v/>
      </c>
      <c r="E120" s="18">
        <f>MonthlyRoadmap!D121</f>
        <v/>
      </c>
    </row>
    <row r="121">
      <c r="D121" s="12">
        <f>MonthlyRoadmap!A122</f>
        <v/>
      </c>
      <c r="E121" s="18">
        <f>MonthlyRoadmap!D122</f>
        <v/>
      </c>
    </row>
    <row r="122">
      <c r="D122" s="12">
        <f>MonthlyRoadmap!A123</f>
        <v/>
      </c>
      <c r="E122" s="18">
        <f>MonthlyRoadmap!D123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2025-09-19T03:37:27Z</dcterms:created>
  <dcterms:modified xsi:type="dcterms:W3CDTF">2026-05-23T11:56:06Z</dcterms:modified>
</cp:coreProperties>
</file>