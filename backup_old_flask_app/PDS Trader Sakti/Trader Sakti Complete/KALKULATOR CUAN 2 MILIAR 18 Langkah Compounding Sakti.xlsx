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3" autoFilterDateGrouping="1"/>
  </bookViews>
  <sheets>
    <sheet name="Inputs" sheetId="1" state="visible" r:id="rId1"/>
    <sheet name="18 Langkah" sheetId="2" state="visible" r:id="rId2"/>
    <sheet name="Presets" sheetId="3" state="visible" r:id="rId3"/>
    <sheet name="Dashboard" sheetId="4" state="visible" r:id="rId4"/>
  </sheets>
  <definedNames>
    <definedName name="G_EQ">Inputs!$B$11</definedName>
    <definedName name="MODAL">Inputs!$B$6</definedName>
    <definedName name="N_STEPS">Inputs!$B$8</definedName>
    <definedName name="TARGET">Inputs!$B$7</definedName>
    <definedName name="TRADES_DEFAULT">Inputs!$B$9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rgb="FF666666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6B6B6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3F2FD"/>
        <bgColor indexed="64"/>
      </patternFill>
    </fill>
    <fill>
      <patternFill patternType="solid">
        <fgColor rgb="FFF4F6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8" fontId="0" fillId="2" borderId="0" pivotButton="0" quotePrefix="0" xfId="0"/>
    <xf numFmtId="0" fontId="0" fillId="2" borderId="0" pivotButton="0" quotePrefix="0" xfId="0"/>
    <xf numFmtId="10" fontId="0" fillId="0" borderId="1" pivotButton="0" quotePrefix="0" xfId="0"/>
    <xf numFmtId="0" fontId="4" fillId="0" borderId="0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38" fontId="0" fillId="0" borderId="1" pivotButton="0" quotePrefix="0" xfId="0"/>
    <xf numFmtId="1" fontId="0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/>
  </cellStyles>
  <dxfs count="2">
    <dxf>
      <font>
        <b val="1"/>
        <color rgb="FFC62828"/>
      </font>
    </dxf>
    <dxf>
      <font>
        <b val="1"/>
        <color rgb="FF2E7D3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Pertumbuhan Saldo (18 Langkah)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v>Saldo Akhir per Langkah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Dashboard!$D$4:$D$21</f>
              <numCache>
                <formatCode>General</formatCode>
                <ptCount val="18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</numCache>
            </numRef>
          </cat>
          <val>
            <numRef>
              <f>Dashboard!$E$4:$E$21</f>
              <numCache>
                <formatCode>#,##0_);[Red]\(#,##0\)</formatCode>
                <ptCount val="18"/>
                <pt idx="0">
                  <v>61372432.53885794</v>
                </pt>
                <pt idx="1">
                  <v>75331509.51473337</v>
                </pt>
                <pt idx="2">
                  <v>92465559.71486618</v>
                </pt>
                <pt idx="3">
                  <v>113496726.5153673</v>
                </pt>
                <pt idx="4">
                  <v>139311403.8289118</v>
                </pt>
                <pt idx="5">
                  <v>170997594.6676696</v>
                </pt>
                <pt idx="6">
                  <v>209890766.8609706</v>
                </pt>
                <pt idx="7">
                  <v>257630138.5940815</v>
                </pt>
                <pt idx="8">
                  <v>316227766.0168377</v>
                </pt>
                <pt idx="9">
                  <v>388153344.7356425</v>
                </pt>
                <pt idx="10">
                  <v>476438299.2904058</v>
                </pt>
                <pt idx="11">
                  <v>584803547.6425726</v>
                </pt>
                <pt idx="12">
                  <v>717816325.5235716</v>
                </pt>
                <pt idx="13">
                  <v>881082680.2697257</v>
                </pt>
                <pt idx="14">
                  <v>1081483747.120198</v>
                </pt>
                <pt idx="15">
                  <v>1327465766.240112</v>
                </pt>
                <pt idx="16">
                  <v>1629396063.724293</v>
                </pt>
                <pt idx="17">
                  <v>1999999999.999997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50010001"/>
        <axId val="50010002"/>
      </lineChart>
      <catAx>
        <axId val="50010001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Langkah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crossAx val="50010002"/>
        <crosses val="autoZero"/>
        <auto val="1"/>
        <lblAlgn val="ctr"/>
        <lblOffset val="100"/>
        <noMultiLvlLbl val="0"/>
      </catAx>
      <valAx>
        <axId val="50010002"/>
        <scaling>
          <orientation val="minMax"/>
        </scaling>
        <delete val="0"/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Saldo (Rp)</a:t>
                </a:r>
              </a:p>
            </rich>
          </tx>
          <overlay val="0"/>
        </title>
        <numFmt formatCode="#,##0_);[Red]\(#,##0\)" sourceLinked="1"/>
        <majorTickMark val="out"/>
        <minorTickMark val="none"/>
        <tickLblPos val="nextTo"/>
        <crossAx val="50010001"/>
        <crosses val="autoZero"/>
        <crossBetween val="between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Progress ke Rp2 Miliar</a:t>
            </a:r>
          </a:p>
        </rich>
      </tx>
      <overlay val="0"/>
    </title>
    <plotArea>
      <layout/>
      <doughnutChart>
        <varyColors val="1"/>
        <ser>
          <idx val="0"/>
          <order val="0"/>
          <spPr>
            <a:ln>
              <a:prstDash val="solid"/>
            </a:ln>
          </spPr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0"/>
            <showSerName val="0"/>
            <showPercent val="1"/>
            <showBubbleSize val="0"/>
            <showLeaderLines val="0"/>
          </dLbls>
          <cat>
            <strRef>
              <f>Dashboard!$G$4:$G$5</f>
              <strCache>
                <ptCount val="2"/>
                <pt idx="0">
                  <v>Tercapai</v>
                </pt>
                <pt idx="1">
                  <v>Sisa</v>
                </pt>
              </strCache>
            </strRef>
          </cat>
          <val>
            <numRef>
              <f>Dashboard!$H$4:$H$5</f>
              <numCache>
                <formatCode>#,##0_);[Red]\(#,##0\)</formatCode>
                <ptCount val="2"/>
                <pt idx="0">
                  <v>1999999999.999997</v>
                </pt>
                <pt idx="1">
                  <v>3.337860107421875e-06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  <holeSize val="50"/>
      </doughnutChart>
    </plotArea>
    <legend>
      <legendPos val="r"/>
      <overlay val="0"/>
      <txPr>
        <a:bodyPr/>
        <a:lstStyle/>
        <a:p>
          <a:pPr rtl="0">
            <a:defRPr/>
          </a:pPr>
          <a:r>
            <a:t/>
          </a:r>
          <a:endParaRPr lang="en-US"/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10</row>
      <rowOff>0</rowOff>
    </from>
    <to>
      <col>2</col>
      <colOff>1447800</colOff>
      <row>27</row>
      <rowOff>57150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5</col>
      <colOff>0</colOff>
      <row>6</row>
      <rowOff>0</rowOff>
    </from>
    <to>
      <col>12</col>
      <colOff>304800</colOff>
      <row>20</row>
      <rowOff>76200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B11" sqref="B11"/>
    </sheetView>
  </sheetViews>
  <sheetFormatPr baseColWidth="8" defaultRowHeight="14.5"/>
  <cols>
    <col width="42.7265625" customWidth="1" min="1" max="1"/>
    <col width="24.7265625" customWidth="1" min="2" max="2"/>
  </cols>
  <sheetData>
    <row r="1" ht="21" customHeight="1">
      <c r="A1" s="1" t="inlineStr">
        <is>
          <t>KALKULATOR CUAN 2 MILIAR: 18 Langkah Compounding Sakti — Inputs</t>
        </is>
      </c>
    </row>
    <row r="3">
      <c r="A3" s="14" t="inlineStr">
        <is>
          <t>Isi parameter utama di kolom biru.</t>
        </is>
      </c>
    </row>
    <row r="5">
      <c r="A5" s="3" t="inlineStr">
        <is>
          <t>Nama Produk</t>
        </is>
      </c>
      <c r="B5" t="inlineStr">
        <is>
          <t>TRADER SAKTI: Cara Manual Trading Bikin Tajir 2 Miliar Tanpa Robot</t>
        </is>
      </c>
    </row>
    <row r="6">
      <c r="A6" s="3" t="inlineStr">
        <is>
          <t>Modal Awal (Rp)</t>
        </is>
      </c>
      <c r="B6" s="4" t="n">
        <v>10000000</v>
      </c>
    </row>
    <row r="7">
      <c r="A7" s="3" t="inlineStr">
        <is>
          <t>Target (Rp)</t>
        </is>
      </c>
      <c r="B7" s="4" t="n">
        <v>1000000000</v>
      </c>
    </row>
    <row r="8">
      <c r="A8" s="3" t="inlineStr">
        <is>
          <t>Jumlah Langkah Compounding</t>
        </is>
      </c>
      <c r="B8" s="5" t="n">
        <v>18</v>
      </c>
    </row>
    <row r="9">
      <c r="A9" s="3" t="inlineStr">
        <is>
          <t>Trades per Langkah (default)</t>
        </is>
      </c>
      <c r="B9" s="5" t="n">
        <v>4</v>
      </c>
    </row>
    <row r="11">
      <c r="A11" s="3" t="inlineStr">
        <is>
          <t>Rata-rata Growth per Langkah (equalized)</t>
        </is>
      </c>
      <c r="B11" s="6" t="n">
        <v>0.2915496650148839</v>
      </c>
    </row>
    <row r="13">
      <c r="A13" s="3" t="inlineStr">
        <is>
          <t>Catatan:</t>
        </is>
      </c>
    </row>
    <row r="14">
      <c r="A14" s="14" t="inlineStr">
        <is>
          <t>• Rata-rata growth di B11 adalah panduan: kalau semua langkah pakai % yang sama, saldo akhir ≈ target.
• Di sheet '18 Langkah', lo bisa ganti persen growth per langkah (custom). Grafik &amp; KPI akan update otomatis.
• 'Trades per Langkah' dipakai untuk hitung kebutuhan % per trade agar mencapai growth langkah tsb.</t>
        </is>
      </c>
    </row>
    <row r="15"/>
    <row r="16"/>
    <row r="17"/>
  </sheetData>
  <mergeCells count="1">
    <mergeCell ref="A14:B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J12" sqref="J12"/>
    </sheetView>
  </sheetViews>
  <sheetFormatPr baseColWidth="8" defaultRowHeight="14.5"/>
  <cols>
    <col width="7.7265625" customWidth="1" min="1" max="1"/>
    <col width="18.7265625" customWidth="1" min="2" max="2"/>
    <col width="20.7265625" customWidth="1" min="3" max="4"/>
    <col width="18.7265625" customWidth="1" min="5" max="5"/>
    <col width="22.7265625" customWidth="1" min="6" max="7"/>
    <col width="6.6328125" customWidth="1" style="15" min="8" max="8"/>
    <col width="27.08984375" bestFit="1" customWidth="1" min="10" max="10"/>
    <col width="12.453125" bestFit="1" customWidth="1" min="11" max="11"/>
  </cols>
  <sheetData>
    <row r="1" ht="18.5" customHeight="1">
      <c r="A1" s="7" t="inlineStr">
        <is>
          <t>KALKULATOR 18 LANGKAH — Compounding Sakti ke Rp2 Miliar</t>
        </is>
      </c>
    </row>
    <row r="3">
      <c r="A3" s="8" t="inlineStr">
        <is>
          <t>#</t>
        </is>
      </c>
      <c r="B3" s="8" t="inlineStr">
        <is>
          <t>Growth / Langkah</t>
        </is>
      </c>
      <c r="C3" s="8" t="inlineStr">
        <is>
          <t>Saldo Awal</t>
        </is>
      </c>
      <c r="D3" s="8" t="inlineStr">
        <is>
          <t>Saldo Akhir</t>
        </is>
      </c>
      <c r="E3" s="8" t="inlineStr">
        <is>
          <t>Trades/Langkah</t>
        </is>
      </c>
      <c r="F3" s="8" t="inlineStr">
        <is>
          <t>Growth/Trade (butuh)</t>
        </is>
      </c>
      <c r="G3" s="8" t="inlineStr">
        <is>
          <t>Catatan</t>
        </is>
      </c>
      <c r="H3" s="8" t="inlineStr">
        <is>
          <t>✓</t>
        </is>
      </c>
    </row>
    <row r="4">
      <c r="A4" s="9" t="n">
        <v>1</v>
      </c>
      <c r="B4" s="6" t="n">
        <v>0.2915496650148839</v>
      </c>
      <c r="C4" s="10" t="n">
        <v>10000000</v>
      </c>
      <c r="D4" s="10" t="n">
        <v>12915496.65014884</v>
      </c>
      <c r="E4" s="11" t="n">
        <v>4</v>
      </c>
      <c r="F4" s="6" t="n">
        <v>0.06605049898479232</v>
      </c>
      <c r="G4" s="9" t="n"/>
      <c r="H4" s="16" t="inlineStr">
        <is>
          <t>☐</t>
        </is>
      </c>
      <c r="J4" s="8" t="inlineStr">
        <is>
          <t>Saldo Akhir Setelah 18 Langkah</t>
        </is>
      </c>
      <c r="K4" s="10" t="n">
        <v>1000000000</v>
      </c>
    </row>
    <row r="5">
      <c r="A5" s="9" t="n">
        <v>2</v>
      </c>
      <c r="B5" s="6" t="n">
        <v>0.2915496650148839</v>
      </c>
      <c r="C5" s="10" t="n">
        <v>12915496.65014884</v>
      </c>
      <c r="D5" s="10" t="n">
        <v>16681005.37200059</v>
      </c>
      <c r="E5" s="11" t="n">
        <v>4</v>
      </c>
      <c r="F5" s="6" t="n">
        <v>0.06605049898479232</v>
      </c>
      <c r="G5" s="9" t="n"/>
      <c r="H5" s="16" t="inlineStr">
        <is>
          <t>☐</t>
        </is>
      </c>
      <c r="J5" s="8" t="inlineStr">
        <is>
          <t>Gap ke Target</t>
        </is>
      </c>
      <c r="K5" s="10" t="n">
        <v>0</v>
      </c>
    </row>
    <row r="6">
      <c r="A6" s="9" t="n">
        <v>3</v>
      </c>
      <c r="B6" s="6" t="n">
        <v>0.2915496650148839</v>
      </c>
      <c r="C6" s="10" t="n">
        <v>16681005.37200059</v>
      </c>
      <c r="D6" s="10" t="n">
        <v>21544346.90031884</v>
      </c>
      <c r="E6" s="11" t="n">
        <v>4</v>
      </c>
      <c r="F6" s="6" t="n">
        <v>0.06605049898479232</v>
      </c>
      <c r="G6" s="9" t="n"/>
      <c r="H6" s="16" t="inlineStr">
        <is>
          <t>☐</t>
        </is>
      </c>
      <c r="J6" s="8" t="inlineStr">
        <is>
          <t>Status Target</t>
        </is>
      </c>
      <c r="K6" s="9" t="inlineStr">
        <is>
          <t>TERCAPAI</t>
        </is>
      </c>
    </row>
    <row r="7">
      <c r="A7" s="9" t="n">
        <v>4</v>
      </c>
      <c r="B7" s="6" t="n">
        <v>0.2915496650148839</v>
      </c>
      <c r="C7" s="10" t="n">
        <v>21544346.90031884</v>
      </c>
      <c r="D7" s="10" t="n">
        <v>27825594.02207125</v>
      </c>
      <c r="E7" s="11" t="n">
        <v>4</v>
      </c>
      <c r="F7" s="6" t="n">
        <v>0.06605049898479232</v>
      </c>
      <c r="G7" s="9" t="n"/>
      <c r="H7" s="16" t="inlineStr">
        <is>
          <t>☐</t>
        </is>
      </c>
    </row>
    <row r="8">
      <c r="A8" s="9" t="n">
        <v>5</v>
      </c>
      <c r="B8" s="6" t="n">
        <v>0.2915496650148839</v>
      </c>
      <c r="C8" s="10" t="n">
        <v>27825594.02207125</v>
      </c>
      <c r="D8" s="10" t="n">
        <v>35938136.63804628</v>
      </c>
      <c r="E8" s="11" t="n">
        <v>4</v>
      </c>
      <c r="F8" s="6" t="n">
        <v>0.06605049898479232</v>
      </c>
      <c r="G8" s="9" t="n"/>
      <c r="H8" s="16" t="inlineStr">
        <is>
          <t>☐</t>
        </is>
      </c>
    </row>
    <row r="9">
      <c r="A9" s="9" t="n">
        <v>6</v>
      </c>
      <c r="B9" s="6" t="n">
        <v>0.2915496650148839</v>
      </c>
      <c r="C9" s="10" t="n">
        <v>35938136.63804628</v>
      </c>
      <c r="D9" s="10" t="n">
        <v>46415888.3361278</v>
      </c>
      <c r="E9" s="11" t="n">
        <v>4</v>
      </c>
      <c r="F9" s="6" t="n">
        <v>0.06605049898479232</v>
      </c>
      <c r="G9" s="9" t="n"/>
      <c r="H9" s="16" t="inlineStr">
        <is>
          <t>☐</t>
        </is>
      </c>
    </row>
    <row r="10">
      <c r="A10" s="9" t="n">
        <v>7</v>
      </c>
      <c r="B10" s="6" t="n">
        <v>0.2915496650148839</v>
      </c>
      <c r="C10" s="10" t="n">
        <v>46415888.3361278</v>
      </c>
      <c r="D10" s="10" t="n">
        <v>59948425.03189411</v>
      </c>
      <c r="E10" s="11" t="n">
        <v>4</v>
      </c>
      <c r="F10" s="6" t="n">
        <v>0.06605049898479232</v>
      </c>
      <c r="G10" s="9" t="n"/>
      <c r="H10" s="16" t="inlineStr">
        <is>
          <t>☐</t>
        </is>
      </c>
    </row>
    <row r="11">
      <c r="A11" s="9" t="n">
        <v>8</v>
      </c>
      <c r="B11" s="6" t="n">
        <v>0.2915496650148839</v>
      </c>
      <c r="C11" s="10" t="n">
        <v>59948425.03189411</v>
      </c>
      <c r="D11" s="10" t="n">
        <v>77426368.26811272</v>
      </c>
      <c r="E11" s="11" t="n">
        <v>4</v>
      </c>
      <c r="F11" s="6" t="n">
        <v>0.06605049898479232</v>
      </c>
      <c r="G11" s="9" t="n"/>
      <c r="H11" s="16" t="inlineStr">
        <is>
          <t>☐</t>
        </is>
      </c>
    </row>
    <row r="12">
      <c r="A12" s="9" t="n">
        <v>9</v>
      </c>
      <c r="B12" s="6" t="n">
        <v>0.2915496650148839</v>
      </c>
      <c r="C12" s="10" t="n">
        <v>77426368.26811272</v>
      </c>
      <c r="D12" s="10" t="n">
        <v>100000000</v>
      </c>
      <c r="E12" s="11" t="n">
        <v>4</v>
      </c>
      <c r="F12" s="6" t="n">
        <v>0.06605049898479232</v>
      </c>
      <c r="G12" s="9" t="n"/>
      <c r="H12" s="16" t="inlineStr">
        <is>
          <t>☐</t>
        </is>
      </c>
    </row>
    <row r="13">
      <c r="A13" s="9" t="n">
        <v>10</v>
      </c>
      <c r="B13" s="6" t="n">
        <v>0.2915496650148839</v>
      </c>
      <c r="C13" s="10" t="n">
        <v>100000000</v>
      </c>
      <c r="D13" s="10" t="n">
        <v>129154966.5014884</v>
      </c>
      <c r="E13" s="11" t="n">
        <v>4</v>
      </c>
      <c r="F13" s="6" t="n">
        <v>0.06605049898479232</v>
      </c>
      <c r="G13" s="9" t="n"/>
      <c r="H13" s="16" t="inlineStr">
        <is>
          <t>☐</t>
        </is>
      </c>
    </row>
    <row r="14">
      <c r="A14" s="9" t="n">
        <v>11</v>
      </c>
      <c r="B14" s="6" t="n">
        <v>0.2915496650148839</v>
      </c>
      <c r="C14" s="10" t="n">
        <v>129154966.5014884</v>
      </c>
      <c r="D14" s="10" t="n">
        <v>166810053.7200059</v>
      </c>
      <c r="E14" s="11" t="n">
        <v>4</v>
      </c>
      <c r="F14" s="6" t="n">
        <v>0.06605049898479232</v>
      </c>
      <c r="G14" s="9" t="n"/>
      <c r="H14" s="16" t="inlineStr">
        <is>
          <t>☐</t>
        </is>
      </c>
    </row>
    <row r="15">
      <c r="A15" s="9" t="n">
        <v>12</v>
      </c>
      <c r="B15" s="6" t="n">
        <v>0.2915496650148839</v>
      </c>
      <c r="C15" s="10" t="n">
        <v>166810053.7200059</v>
      </c>
      <c r="D15" s="10" t="n">
        <v>215443469.0031884</v>
      </c>
      <c r="E15" s="11" t="n">
        <v>4</v>
      </c>
      <c r="F15" s="6" t="n">
        <v>0.06605049898479232</v>
      </c>
      <c r="G15" s="9" t="n"/>
      <c r="H15" s="16" t="inlineStr">
        <is>
          <t>☐</t>
        </is>
      </c>
    </row>
    <row r="16">
      <c r="A16" s="9" t="n">
        <v>13</v>
      </c>
      <c r="B16" s="6" t="n">
        <v>0.2915496650148839</v>
      </c>
      <c r="C16" s="10" t="n">
        <v>215443469.0031884</v>
      </c>
      <c r="D16" s="10" t="n">
        <v>278255940.2207125</v>
      </c>
      <c r="E16" s="11" t="n">
        <v>4</v>
      </c>
      <c r="F16" s="6" t="n">
        <v>0.06605049898479232</v>
      </c>
      <c r="G16" s="9" t="n"/>
      <c r="H16" s="16" t="inlineStr">
        <is>
          <t>☐</t>
        </is>
      </c>
    </row>
    <row r="17">
      <c r="A17" s="9" t="n">
        <v>14</v>
      </c>
      <c r="B17" s="6" t="n">
        <v>0.2915496650148839</v>
      </c>
      <c r="C17" s="10" t="n">
        <v>278255940.2207125</v>
      </c>
      <c r="D17" s="10" t="n">
        <v>359381366.3804628</v>
      </c>
      <c r="E17" s="11" t="n">
        <v>4</v>
      </c>
      <c r="F17" s="6" t="n">
        <v>0.06605049898479232</v>
      </c>
      <c r="G17" s="9" t="n"/>
      <c r="H17" s="16" t="inlineStr">
        <is>
          <t>☐</t>
        </is>
      </c>
    </row>
    <row r="18">
      <c r="A18" s="9" t="n">
        <v>15</v>
      </c>
      <c r="B18" s="6" t="n">
        <v>0.2915496650148839</v>
      </c>
      <c r="C18" s="10" t="n">
        <v>359381366.3804628</v>
      </c>
      <c r="D18" s="10" t="n">
        <v>464158883.3612779</v>
      </c>
      <c r="E18" s="11" t="n">
        <v>4</v>
      </c>
      <c r="F18" s="6" t="n">
        <v>0.06605049898479232</v>
      </c>
      <c r="G18" s="9" t="n"/>
      <c r="H18" s="16" t="inlineStr">
        <is>
          <t>☐</t>
        </is>
      </c>
    </row>
    <row r="19">
      <c r="A19" s="9" t="n">
        <v>16</v>
      </c>
      <c r="B19" s="6" t="n">
        <v>0.2915496650148839</v>
      </c>
      <c r="C19" s="10" t="n">
        <v>464158883.3612779</v>
      </c>
      <c r="D19" s="10" t="n">
        <v>599484250.3189411</v>
      </c>
      <c r="E19" s="11" t="n">
        <v>4</v>
      </c>
      <c r="F19" s="6" t="n">
        <v>0.06605049898479232</v>
      </c>
      <c r="G19" s="9" t="n"/>
      <c r="H19" s="16" t="inlineStr">
        <is>
          <t>☐</t>
        </is>
      </c>
    </row>
    <row r="20">
      <c r="A20" s="9" t="n">
        <v>17</v>
      </c>
      <c r="B20" s="6" t="n">
        <v>0.2915496650148839</v>
      </c>
      <c r="C20" s="10" t="n">
        <v>599484250.3189411</v>
      </c>
      <c r="D20" s="10" t="n">
        <v>774263682.6811272</v>
      </c>
      <c r="E20" s="11" t="n">
        <v>4</v>
      </c>
      <c r="F20" s="6" t="n">
        <v>0.06605049898479232</v>
      </c>
      <c r="G20" s="9" t="n"/>
      <c r="H20" s="16" t="inlineStr">
        <is>
          <t>☐</t>
        </is>
      </c>
    </row>
    <row r="21">
      <c r="A21" s="9" t="n">
        <v>18</v>
      </c>
      <c r="B21" s="6" t="n">
        <v>0.2915496650148839</v>
      </c>
      <c r="C21" s="10" t="n">
        <v>774263682.6811272</v>
      </c>
      <c r="D21" s="10" t="n">
        <v>1000000000</v>
      </c>
      <c r="E21" s="11" t="n">
        <v>4</v>
      </c>
      <c r="F21" s="6" t="n">
        <v>0.06605049898479232</v>
      </c>
      <c r="G21" s="9" t="n"/>
      <c r="H21" s="16" t="inlineStr">
        <is>
          <t>☐</t>
        </is>
      </c>
    </row>
  </sheetData>
  <conditionalFormatting sqref="K6">
    <cfRule type="containsText" priority="1" operator="containsText" dxfId="1" text="TERCAPAI">
      <formula>NOT(ISERROR(SEARCH("TERCAPAI",K6)))</formula>
    </cfRule>
    <cfRule type="containsText" priority="2" operator="containsText" dxfId="0" text="BELUM">
      <formula>NOT(ISERROR(SEARCH("BELUM",K6)))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B6" sqref="B6"/>
    </sheetView>
  </sheetViews>
  <sheetFormatPr baseColWidth="8" defaultRowHeight="14.5"/>
  <cols>
    <col width="36.7265625" customWidth="1" min="1" max="1"/>
    <col width="10.7265625" customWidth="1" min="2" max="20"/>
  </cols>
  <sheetData>
    <row r="1" ht="18.5" customHeight="1">
      <c r="A1" s="7" t="inlineStr">
        <is>
          <t>Presets Growth per Langkah (copy ke kolom B di sheet '18 Langkah' jika mau)</t>
        </is>
      </c>
    </row>
    <row r="3">
      <c r="A3" s="3" t="inlineStr">
        <is>
          <t>Equalized (semua sama)</t>
        </is>
      </c>
      <c r="B3" s="6">
        <f>G_EQ</f>
        <v/>
      </c>
      <c r="C3" s="6">
        <f>G_EQ</f>
        <v/>
      </c>
      <c r="D3" s="6">
        <f>G_EQ</f>
        <v/>
      </c>
      <c r="E3" s="6">
        <f>G_EQ</f>
        <v/>
      </c>
      <c r="F3" s="6">
        <f>G_EQ</f>
        <v/>
      </c>
      <c r="G3" s="6">
        <f>G_EQ</f>
        <v/>
      </c>
      <c r="H3" s="6">
        <f>G_EQ</f>
        <v/>
      </c>
      <c r="I3" s="6">
        <f>G_EQ</f>
        <v/>
      </c>
      <c r="J3" s="6">
        <f>G_EQ</f>
        <v/>
      </c>
      <c r="K3" s="6">
        <f>G_EQ</f>
        <v/>
      </c>
      <c r="L3" s="6">
        <f>G_EQ</f>
        <v/>
      </c>
      <c r="M3" s="6">
        <f>G_EQ</f>
        <v/>
      </c>
      <c r="N3" s="6">
        <f>G_EQ</f>
        <v/>
      </c>
      <c r="O3" s="6">
        <f>G_EQ</f>
        <v/>
      </c>
      <c r="P3" s="6">
        <f>G_EQ</f>
        <v/>
      </c>
      <c r="Q3" s="6">
        <f>G_EQ</f>
        <v/>
      </c>
      <c r="R3" s="6">
        <f>G_EQ</f>
        <v/>
      </c>
      <c r="S3" s="6">
        <f>G_EQ</f>
        <v/>
      </c>
    </row>
    <row r="4">
      <c r="A4" s="3" t="inlineStr">
        <is>
          <t>Konservatif → naik bertahap</t>
        </is>
      </c>
      <c r="B4" s="6" t="n">
        <v>0.04</v>
      </c>
      <c r="C4" s="6" t="n">
        <v>0.05</v>
      </c>
      <c r="D4" s="6" t="n">
        <v>0.05</v>
      </c>
      <c r="E4" s="6" t="n">
        <v>0.06</v>
      </c>
      <c r="F4" s="6" t="n">
        <v>0.06</v>
      </c>
      <c r="G4" s="6" t="n">
        <v>0.07000000000000001</v>
      </c>
      <c r="H4" s="6" t="n">
        <v>0.07000000000000001</v>
      </c>
      <c r="I4" s="6" t="n">
        <v>0.08</v>
      </c>
      <c r="J4" s="6" t="n">
        <v>0.08</v>
      </c>
      <c r="K4" s="6" t="n">
        <v>0.09</v>
      </c>
      <c r="L4" s="6" t="n">
        <v>0.09</v>
      </c>
      <c r="M4" s="6" t="n">
        <v>0.1</v>
      </c>
      <c r="N4" s="6" t="n">
        <v>0.11</v>
      </c>
      <c r="O4" s="6" t="n">
        <v>0.12</v>
      </c>
      <c r="P4" s="6" t="n">
        <v>0.13</v>
      </c>
      <c r="Q4" s="6" t="n">
        <v>0.14</v>
      </c>
      <c r="R4" s="6" t="n">
        <v>0.15</v>
      </c>
      <c r="S4" s="6" t="n">
        <v>0.16</v>
      </c>
    </row>
    <row r="5">
      <c r="A5" s="3" t="inlineStr">
        <is>
          <t>Moderate → 8–12%</t>
        </is>
      </c>
      <c r="B5" s="6" t="n">
        <v>0.08</v>
      </c>
      <c r="C5" s="6" t="n">
        <v>0.08</v>
      </c>
      <c r="D5" s="6" t="n">
        <v>0.09</v>
      </c>
      <c r="E5" s="6" t="n">
        <v>0.09</v>
      </c>
      <c r="F5" s="6" t="n">
        <v>0.1</v>
      </c>
      <c r="G5" s="6" t="n">
        <v>0.1</v>
      </c>
      <c r="H5" s="6" t="n">
        <v>0.1</v>
      </c>
      <c r="I5" s="6" t="n">
        <v>0.11</v>
      </c>
      <c r="J5" s="6" t="n">
        <v>0.11</v>
      </c>
      <c r="K5" s="6" t="n">
        <v>0.11</v>
      </c>
      <c r="L5" s="6" t="n">
        <v>0.12</v>
      </c>
      <c r="M5" s="6" t="n">
        <v>0.12</v>
      </c>
      <c r="N5" s="6" t="n">
        <v>0.12</v>
      </c>
      <c r="O5" s="6" t="n">
        <v>0.12</v>
      </c>
      <c r="P5" s="6" t="n">
        <v>0.12</v>
      </c>
      <c r="Q5" s="6" t="n">
        <v>0.12</v>
      </c>
      <c r="R5" s="6" t="n">
        <v>0.12</v>
      </c>
      <c r="S5" s="6" t="n">
        <v>0.12</v>
      </c>
    </row>
    <row r="6">
      <c r="A6" s="3" t="inlineStr">
        <is>
          <t>Agresif (berisiko tinggi)</t>
        </is>
      </c>
      <c r="B6" s="6" t="n">
        <v>0.12</v>
      </c>
      <c r="C6" s="6" t="n">
        <v>0.14</v>
      </c>
      <c r="D6" s="6" t="n">
        <v>0.15</v>
      </c>
      <c r="E6" s="6" t="n">
        <v>0.15</v>
      </c>
      <c r="F6" s="6" t="n">
        <v>0.16</v>
      </c>
      <c r="G6" s="6" t="n">
        <v>0.16</v>
      </c>
      <c r="H6" s="6" t="n">
        <v>0.17</v>
      </c>
      <c r="I6" s="6" t="n">
        <v>0.18</v>
      </c>
      <c r="J6" s="6" t="n">
        <v>0.18</v>
      </c>
      <c r="K6" s="6" t="n">
        <v>0.19</v>
      </c>
      <c r="L6" s="6" t="n">
        <v>0.2</v>
      </c>
      <c r="M6" s="6" t="n">
        <v>0.2</v>
      </c>
      <c r="N6" s="6" t="n">
        <v>0.21</v>
      </c>
      <c r="O6" s="6" t="n">
        <v>0.22</v>
      </c>
      <c r="P6" s="6" t="n">
        <v>0.22</v>
      </c>
      <c r="Q6" s="6" t="n">
        <v>0.23</v>
      </c>
      <c r="R6" s="6" t="n">
        <v>0.24</v>
      </c>
      <c r="S6" s="6" t="n">
        <v>0.25</v>
      </c>
    </row>
    <row r="7">
      <c r="A7" s="3" t="inlineStr">
        <is>
          <t>Catatan:</t>
        </is>
      </c>
    </row>
    <row r="8">
      <c r="A8" s="14" t="inlineStr">
        <is>
          <t>• Preset hanyalah contoh. Pastikan realistis sesuai market &amp; strategi.
• Lo bebas mix &amp; match. Copy angka-angka ke kolom 'Growth/Langkah' di sheet 18 Langkah.
• Ingat risiko: Semakin besar target growth → semakin besar volatilitas &amp; kemungkinan drawdown.</t>
        </is>
      </c>
    </row>
    <row r="9"/>
    <row r="10"/>
    <row r="11"/>
  </sheetData>
  <mergeCells count="1">
    <mergeCell ref="A8:T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topLeftCell="A6" workbookViewId="0">
      <selection activeCell="B32" sqref="B32"/>
    </sheetView>
  </sheetViews>
  <sheetFormatPr baseColWidth="8" defaultRowHeight="14.5"/>
  <cols>
    <col width="42.7265625" customWidth="1" min="1" max="1"/>
    <col width="24.7265625" customWidth="1" min="2" max="3"/>
    <col width="11.6328125" customWidth="1" style="15" min="4" max="4"/>
    <col width="12.453125" bestFit="1" customWidth="1" min="5" max="5"/>
    <col width="12.453125" bestFit="1" customWidth="1" min="8" max="8"/>
  </cols>
  <sheetData>
    <row r="1" ht="21" customHeight="1">
      <c r="A1" s="1" t="inlineStr">
        <is>
          <t>DASHBOARD — 18 Langkah Compounding Sakti</t>
        </is>
      </c>
    </row>
    <row r="3">
      <c r="A3" s="8" t="inlineStr">
        <is>
          <t>Modal Awal</t>
        </is>
      </c>
      <c r="B3" s="10">
        <f>MODAL</f>
        <v/>
      </c>
      <c r="D3" s="8" t="inlineStr">
        <is>
          <t>Langkah</t>
        </is>
      </c>
      <c r="E3" s="8" t="inlineStr">
        <is>
          <t>Saldo Akhir</t>
        </is>
      </c>
      <c r="G3" s="8" t="inlineStr">
        <is>
          <t>Progress</t>
        </is>
      </c>
    </row>
    <row r="4">
      <c r="A4" s="8" t="inlineStr">
        <is>
          <t>Target</t>
        </is>
      </c>
      <c r="B4" s="10">
        <f>TARGET</f>
        <v/>
      </c>
      <c r="D4" s="16" t="n">
        <v>1</v>
      </c>
      <c r="E4" s="10">
        <f>'18 Langkah'!D4</f>
        <v/>
      </c>
      <c r="G4" s="8" t="inlineStr">
        <is>
          <t>Tercapai</t>
        </is>
      </c>
      <c r="H4" s="10">
        <f>MIN('18 Langkah'!K4,TARGET)</f>
        <v/>
      </c>
    </row>
    <row r="5">
      <c r="A5" s="8" t="inlineStr">
        <is>
          <t>Rata-rata Growth/Langkah (equalized)</t>
        </is>
      </c>
      <c r="B5" s="6">
        <f>G_EQ</f>
        <v/>
      </c>
      <c r="D5" s="16" t="n">
        <v>2</v>
      </c>
      <c r="E5" s="10">
        <f>'18 Langkah'!D5</f>
        <v/>
      </c>
      <c r="G5" s="8" t="inlineStr">
        <is>
          <t>Sisa</t>
        </is>
      </c>
      <c r="H5" s="10">
        <f>MAX(TARGET-'18 Langkah'!K4,0)</f>
        <v/>
      </c>
    </row>
    <row r="6">
      <c r="A6" s="8" t="inlineStr">
        <is>
          <t>Saldo Akhir Setelah 18 Langkah</t>
        </is>
      </c>
      <c r="B6" s="10">
        <f>'18 Langkah'!D21</f>
        <v/>
      </c>
      <c r="D6" s="16" t="n">
        <v>3</v>
      </c>
      <c r="E6" s="10">
        <f>'18 Langkah'!D6</f>
        <v/>
      </c>
    </row>
    <row r="7">
      <c r="A7" s="8" t="inlineStr">
        <is>
          <t>Status Target</t>
        </is>
      </c>
      <c r="B7" s="9">
        <f>'18 Langkah'!K6</f>
        <v/>
      </c>
      <c r="D7" s="16" t="n">
        <v>4</v>
      </c>
      <c r="E7" s="10">
        <f>'18 Langkah'!D7</f>
        <v/>
      </c>
    </row>
    <row r="8">
      <c r="D8" s="16" t="n">
        <v>5</v>
      </c>
      <c r="E8" s="10">
        <f>'18 Langkah'!D8</f>
        <v/>
      </c>
    </row>
    <row r="9" ht="15.5" customHeight="1">
      <c r="A9" s="12" t="inlineStr">
        <is>
          <t>Progress ke Target</t>
        </is>
      </c>
      <c r="B9" s="6">
        <f>'18 Langkah'!K4/TARGET</f>
        <v/>
      </c>
      <c r="D9" s="16" t="n">
        <v>6</v>
      </c>
      <c r="E9" s="10">
        <f>'18 Langkah'!D9</f>
        <v/>
      </c>
    </row>
    <row r="10">
      <c r="D10" s="16" t="n">
        <v>7</v>
      </c>
      <c r="E10" s="10">
        <f>'18 Langkah'!D10</f>
        <v/>
      </c>
    </row>
    <row r="11">
      <c r="D11" s="16" t="n">
        <v>8</v>
      </c>
      <c r="E11" s="10">
        <f>'18 Langkah'!D11</f>
        <v/>
      </c>
    </row>
    <row r="12">
      <c r="D12" s="16" t="n">
        <v>9</v>
      </c>
      <c r="E12" s="10">
        <f>'18 Langkah'!D12</f>
        <v/>
      </c>
    </row>
    <row r="13">
      <c r="D13" s="16" t="n">
        <v>10</v>
      </c>
      <c r="E13" s="10">
        <f>'18 Langkah'!D13</f>
        <v/>
      </c>
    </row>
    <row r="14">
      <c r="D14" s="16" t="n">
        <v>11</v>
      </c>
      <c r="E14" s="10">
        <f>'18 Langkah'!D14</f>
        <v/>
      </c>
    </row>
    <row r="15">
      <c r="D15" s="16" t="n">
        <v>12</v>
      </c>
      <c r="E15" s="10">
        <f>'18 Langkah'!D15</f>
        <v/>
      </c>
    </row>
    <row r="16">
      <c r="D16" s="16" t="n">
        <v>13</v>
      </c>
      <c r="E16" s="10">
        <f>'18 Langkah'!D16</f>
        <v/>
      </c>
    </row>
    <row r="17">
      <c r="D17" s="16" t="n">
        <v>14</v>
      </c>
      <c r="E17" s="10">
        <f>'18 Langkah'!D17</f>
        <v/>
      </c>
    </row>
    <row r="18">
      <c r="D18" s="16" t="n">
        <v>15</v>
      </c>
      <c r="E18" s="10">
        <f>'18 Langkah'!D18</f>
        <v/>
      </c>
    </row>
    <row r="19">
      <c r="D19" s="16" t="n">
        <v>16</v>
      </c>
      <c r="E19" s="10">
        <f>'18 Langkah'!D19</f>
        <v/>
      </c>
    </row>
    <row r="20">
      <c r="D20" s="16" t="n">
        <v>17</v>
      </c>
      <c r="E20" s="10">
        <f>'18 Langkah'!D20</f>
        <v/>
      </c>
    </row>
    <row r="21">
      <c r="D21" s="16" t="n">
        <v>18</v>
      </c>
      <c r="E21" s="10">
        <f>'18 Langkah'!D21</f>
        <v/>
      </c>
    </row>
    <row r="27" ht="15.5" customHeight="1">
      <c r="A27" s="12" t="inlineStr">
        <is>
          <t>Tips Pakai:</t>
        </is>
      </c>
    </row>
    <row r="28">
      <c r="A28" s="14" t="n"/>
    </row>
    <row r="29">
      <c r="A29" s="14" t="inlineStr">
        <is>
          <t>1) Ubah modal, target, jumlah langkah di sheet Inputs.
2) Di sheet '18 Langkah', lo bisa biarkan growth per langkah = equalized (B=G_EQ) atau ketik manual untuk custom.
3) Atur jumlah trade per langkah — kolom F otomatis hitung % per trade yang dibutuhkan.
4) Lihat Dashboard untuk progress &amp; grafik.
5) Gunakan Presets sebagai inspirasi jalur compounding.</t>
        </is>
      </c>
    </row>
    <row r="34">
      <c r="A34" s="13" t="n"/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2025-09-19T03:41:29Z</dcterms:created>
  <dcterms:modified xsi:type="dcterms:W3CDTF">2026-05-23T11:56:06Z</dcterms:modified>
  <cp:lastModifiedBy>Arcelia E. A.</cp:lastModifiedBy>
</cp:coreProperties>
</file>